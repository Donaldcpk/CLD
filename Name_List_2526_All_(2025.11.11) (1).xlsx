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Documents\06  學生點名紙及人名表\2526 +\"/>
    </mc:Choice>
  </mc:AlternateContent>
  <bookViews>
    <workbookView xWindow="4230" yWindow="90" windowWidth="10455" windowHeight="8640" tabRatio="667"/>
  </bookViews>
  <sheets>
    <sheet name="All" sheetId="1" r:id="rId1"/>
    <sheet name="退學、插班生_名單" sheetId="2" r:id="rId2"/>
  </sheets>
  <definedNames>
    <definedName name="_xlnm.Print_Area" localSheetId="0">All!$A$1:$AI$41</definedName>
  </definedNames>
  <calcPr calcId="162913"/>
</workbook>
</file>

<file path=xl/calcChain.xml><?xml version="1.0" encoding="utf-8"?>
<calcChain xmlns="http://schemas.openxmlformats.org/spreadsheetml/2006/main">
  <c r="H37" i="1" l="1"/>
  <c r="C37" i="1"/>
  <c r="D37" i="1"/>
  <c r="E37" i="1"/>
  <c r="B37" i="1"/>
  <c r="AI37" i="1" l="1"/>
  <c r="AH37" i="1"/>
  <c r="AG37" i="1"/>
  <c r="AF37" i="1"/>
  <c r="AC37" i="1"/>
  <c r="AB37" i="1"/>
  <c r="AA37" i="1"/>
  <c r="Z37" i="1"/>
  <c r="W37" i="1"/>
  <c r="V37" i="1"/>
  <c r="U37" i="1"/>
  <c r="T37" i="1"/>
  <c r="Q37" i="1"/>
  <c r="P37" i="1"/>
  <c r="O37" i="1"/>
  <c r="N37" i="1"/>
  <c r="K37" i="1"/>
  <c r="J37" i="1"/>
  <c r="I37" i="1"/>
  <c r="AI40" i="1" l="1"/>
  <c r="AF38" i="1"/>
  <c r="T38" i="1"/>
  <c r="N38" i="1"/>
  <c r="H38" i="1"/>
  <c r="B38" i="1"/>
  <c r="Z38" i="1"/>
</calcChain>
</file>

<file path=xl/sharedStrings.xml><?xml version="1.0" encoding="utf-8"?>
<sst xmlns="http://schemas.openxmlformats.org/spreadsheetml/2006/main" count="736" uniqueCount="714">
  <si>
    <t>1A</t>
    <phoneticPr fontId="2" type="noConversion"/>
  </si>
  <si>
    <t>1B</t>
    <phoneticPr fontId="2" type="noConversion"/>
  </si>
  <si>
    <t>1C</t>
    <phoneticPr fontId="2" type="noConversion"/>
  </si>
  <si>
    <t>1D</t>
    <phoneticPr fontId="2" type="noConversion"/>
  </si>
  <si>
    <t>2A</t>
    <phoneticPr fontId="2" type="noConversion"/>
  </si>
  <si>
    <t>2B</t>
    <phoneticPr fontId="2" type="noConversion"/>
  </si>
  <si>
    <t>2C</t>
    <phoneticPr fontId="2" type="noConversion"/>
  </si>
  <si>
    <t>2D</t>
    <phoneticPr fontId="2" type="noConversion"/>
  </si>
  <si>
    <t>3A</t>
    <phoneticPr fontId="2" type="noConversion"/>
  </si>
  <si>
    <t>3B</t>
    <phoneticPr fontId="2" type="noConversion"/>
  </si>
  <si>
    <t>3C</t>
    <phoneticPr fontId="2" type="noConversion"/>
  </si>
  <si>
    <t>3D</t>
    <phoneticPr fontId="2" type="noConversion"/>
  </si>
  <si>
    <t>4A</t>
    <phoneticPr fontId="2" type="noConversion"/>
  </si>
  <si>
    <t>4B</t>
    <phoneticPr fontId="2" type="noConversion"/>
  </si>
  <si>
    <t>4C</t>
    <phoneticPr fontId="2" type="noConversion"/>
  </si>
  <si>
    <t>4D</t>
    <phoneticPr fontId="2" type="noConversion"/>
  </si>
  <si>
    <t>5A</t>
    <phoneticPr fontId="2" type="noConversion"/>
  </si>
  <si>
    <t>5B</t>
    <phoneticPr fontId="2" type="noConversion"/>
  </si>
  <si>
    <t>5C</t>
    <phoneticPr fontId="2" type="noConversion"/>
  </si>
  <si>
    <t>5D</t>
    <phoneticPr fontId="2" type="noConversion"/>
  </si>
  <si>
    <t>6A</t>
    <phoneticPr fontId="2" type="noConversion"/>
  </si>
  <si>
    <t>6B</t>
    <phoneticPr fontId="2" type="noConversion"/>
  </si>
  <si>
    <t>6C</t>
    <phoneticPr fontId="2" type="noConversion"/>
  </si>
  <si>
    <t>6D</t>
    <phoneticPr fontId="2" type="noConversion"/>
  </si>
  <si>
    <t>全校總人數：</t>
    <phoneticPr fontId="2" type="noConversion"/>
  </si>
  <si>
    <t>區浩龍</t>
  </si>
  <si>
    <t>陳嘉雄</t>
  </si>
  <si>
    <t>陳燦林</t>
  </si>
  <si>
    <t>陳梓駿</t>
  </si>
  <si>
    <t>趙朗慆</t>
  </si>
  <si>
    <t>馮聰遠</t>
  </si>
  <si>
    <t>顧錦煜</t>
  </si>
  <si>
    <t>郭天佑</t>
  </si>
  <si>
    <t>黃梓洺</t>
  </si>
  <si>
    <t>郭錦晞</t>
  </si>
  <si>
    <t>林景朗</t>
  </si>
  <si>
    <t>劉穎心</t>
  </si>
  <si>
    <t>羅泳翹</t>
  </si>
  <si>
    <t>李浩瑄</t>
  </si>
  <si>
    <t>黎嘉雯</t>
  </si>
  <si>
    <t>劉瀚聰</t>
  </si>
  <si>
    <t>莫梓聰</t>
  </si>
  <si>
    <t>吳汶諾</t>
  </si>
  <si>
    <t>魏楚軒</t>
  </si>
  <si>
    <t>顏薪峰</t>
  </si>
  <si>
    <t>蘇柏澄</t>
  </si>
  <si>
    <t>鄧嘉灝</t>
  </si>
  <si>
    <t>韋景宏</t>
  </si>
  <si>
    <t>胡嘉儀</t>
  </si>
  <si>
    <t>楊子霖</t>
  </si>
  <si>
    <t>楊子申</t>
  </si>
  <si>
    <t>翁嘉銘</t>
  </si>
  <si>
    <t>陳柏鳴</t>
  </si>
  <si>
    <t>陳嘉誠</t>
  </si>
  <si>
    <t>鄭晞彤</t>
  </si>
  <si>
    <t>鄭芷茵</t>
  </si>
  <si>
    <t>陳詠琪</t>
  </si>
  <si>
    <t>張傲斯</t>
  </si>
  <si>
    <t>蔡康妮</t>
  </si>
  <si>
    <t>何佰俞</t>
  </si>
  <si>
    <t>高孝仁</t>
  </si>
  <si>
    <t>關浩銘</t>
  </si>
  <si>
    <t>郭曉鵬</t>
  </si>
  <si>
    <t>黎嘉隆</t>
  </si>
  <si>
    <t>賴梓揚</t>
  </si>
  <si>
    <t>林灝軒</t>
  </si>
  <si>
    <t>李熙兒</t>
  </si>
  <si>
    <t>梁梓洋</t>
  </si>
  <si>
    <t>李芷殷</t>
  </si>
  <si>
    <t>林詩怡</t>
  </si>
  <si>
    <t>馬頌頤</t>
  </si>
  <si>
    <t>伍逸晴</t>
  </si>
  <si>
    <t>丘美娟</t>
  </si>
  <si>
    <t>陶炎鴻</t>
  </si>
  <si>
    <t>唐梓樂</t>
  </si>
  <si>
    <t>黃卓言</t>
  </si>
  <si>
    <t>黃諾恆</t>
  </si>
  <si>
    <t>黃梓滇</t>
  </si>
  <si>
    <t>楊哿滐</t>
  </si>
  <si>
    <t>陳俊暉</t>
  </si>
  <si>
    <t>陳仲希</t>
  </si>
  <si>
    <t>程俊鵬</t>
  </si>
  <si>
    <t>鄭景禧</t>
  </si>
  <si>
    <t>張青朗</t>
  </si>
  <si>
    <t>張逸熙</t>
  </si>
  <si>
    <t>蔡紫琪</t>
  </si>
  <si>
    <t>董雅諾</t>
  </si>
  <si>
    <t>夏銘賢</t>
  </si>
  <si>
    <t>許賢納</t>
  </si>
  <si>
    <t>黎廣裕</t>
  </si>
  <si>
    <t>林昱翰</t>
  </si>
  <si>
    <t>李偉嵐</t>
  </si>
  <si>
    <t>利華軒</t>
  </si>
  <si>
    <t>劉梓瀅</t>
  </si>
  <si>
    <t>馬安祈</t>
  </si>
  <si>
    <t>邵祺睿</t>
  </si>
  <si>
    <t>蕭海淇</t>
  </si>
  <si>
    <t>黃菊耀</t>
  </si>
  <si>
    <t>黃芷淇</t>
  </si>
  <si>
    <t>黃慧瑤</t>
  </si>
  <si>
    <t>徐盈盈</t>
  </si>
  <si>
    <t>曾文翰</t>
  </si>
  <si>
    <t>陳政謙</t>
  </si>
  <si>
    <t>陳冠達</t>
  </si>
  <si>
    <t>陳美詩</t>
  </si>
  <si>
    <t>陳諾言</t>
  </si>
  <si>
    <t>陳溢權</t>
  </si>
  <si>
    <t>鄭芷澄</t>
  </si>
  <si>
    <t>鄭愉滔</t>
  </si>
  <si>
    <t>周啟康</t>
  </si>
  <si>
    <t>方靖林</t>
  </si>
  <si>
    <t>姚乃宏</t>
  </si>
  <si>
    <t>關羽埕</t>
  </si>
  <si>
    <t>黎卓軒</t>
  </si>
  <si>
    <t>林嘉桐</t>
  </si>
  <si>
    <t>李卓峰</t>
  </si>
  <si>
    <t>李承軒</t>
  </si>
  <si>
    <t>馬嘉怡</t>
  </si>
  <si>
    <t>彭昌興</t>
  </si>
  <si>
    <t>潘惜博</t>
  </si>
  <si>
    <t>辛梓涵</t>
  </si>
  <si>
    <t>孫美雪</t>
  </si>
  <si>
    <t>蔡煒權</t>
  </si>
  <si>
    <t>曾厚政</t>
  </si>
  <si>
    <t>蔡梓晟</t>
  </si>
  <si>
    <t>魏育峰</t>
  </si>
  <si>
    <t>胡永健</t>
  </si>
  <si>
    <t>陳卓朗</t>
  </si>
  <si>
    <t>鄭朗謙</t>
  </si>
  <si>
    <t>鄒梓諾</t>
  </si>
  <si>
    <t>朱家樂</t>
  </si>
  <si>
    <t>馮繼樂</t>
  </si>
  <si>
    <t>高梓瑜</t>
  </si>
  <si>
    <t>郭清楊</t>
  </si>
  <si>
    <t>柯俊鴻</t>
  </si>
  <si>
    <t>郭嘉恒</t>
  </si>
  <si>
    <t>劉澔軒</t>
  </si>
  <si>
    <t>李嘉傑</t>
  </si>
  <si>
    <t>梁德聖</t>
  </si>
  <si>
    <t>羅澤朗</t>
  </si>
  <si>
    <t>倪煊奕</t>
  </si>
  <si>
    <t>區杰倫</t>
  </si>
  <si>
    <t>鄧曉彬</t>
  </si>
  <si>
    <t>曾子駿</t>
  </si>
  <si>
    <t>黃凱瞳</t>
  </si>
  <si>
    <t>王銘鴻</t>
  </si>
  <si>
    <t>黃羿鳴</t>
  </si>
  <si>
    <t>黃奕晉</t>
  </si>
  <si>
    <t>楊宗明</t>
  </si>
  <si>
    <t>游景齊</t>
  </si>
  <si>
    <t>楊德林</t>
  </si>
  <si>
    <t>陳飛揚</t>
  </si>
  <si>
    <t>陳梓尹</t>
  </si>
  <si>
    <t>陳偉灝</t>
  </si>
  <si>
    <t>陳溢銘</t>
  </si>
  <si>
    <t>鄭焯丞</t>
  </si>
  <si>
    <t>張軒諾</t>
  </si>
  <si>
    <t>張顥霖</t>
  </si>
  <si>
    <t>張嘉俊</t>
  </si>
  <si>
    <t>張景沃</t>
  </si>
  <si>
    <t>朱家昇</t>
  </si>
  <si>
    <t>傅子軒</t>
  </si>
  <si>
    <t>黃智鴻</t>
  </si>
  <si>
    <t>梁彥希</t>
  </si>
  <si>
    <t>羅淇方</t>
  </si>
  <si>
    <t>譚浩權</t>
  </si>
  <si>
    <t>王迪燊</t>
  </si>
  <si>
    <t>胡軍傑</t>
  </si>
  <si>
    <t>尹錦恩</t>
  </si>
  <si>
    <t>畢偉鍵</t>
  </si>
  <si>
    <t>蔡梓權</t>
  </si>
  <si>
    <t>陳洛軒</t>
  </si>
  <si>
    <t>陳偉榮</t>
  </si>
  <si>
    <t>陳佑霖</t>
  </si>
  <si>
    <t>莊景順</t>
  </si>
  <si>
    <t>郭柏謙</t>
  </si>
  <si>
    <t>林司源</t>
  </si>
  <si>
    <t>李澤昇</t>
  </si>
  <si>
    <t>麥耀天</t>
  </si>
  <si>
    <t>敖俊洛</t>
  </si>
  <si>
    <t>潘琛榮</t>
  </si>
  <si>
    <t>蕭立寅</t>
  </si>
  <si>
    <t>黃祖儒</t>
  </si>
  <si>
    <t>黃楚峯</t>
  </si>
  <si>
    <t>黃恩明</t>
  </si>
  <si>
    <t>辛楚銘</t>
  </si>
  <si>
    <t>薛宇燁</t>
  </si>
  <si>
    <t>葉曉承</t>
  </si>
  <si>
    <t>陳梓軒</t>
  </si>
  <si>
    <t>陳澤楷</t>
  </si>
  <si>
    <t>陳經偉</t>
  </si>
  <si>
    <t>周日朗</t>
  </si>
  <si>
    <t>許榮彬</t>
  </si>
  <si>
    <t>簡應傑</t>
  </si>
  <si>
    <t>郭建霆</t>
  </si>
  <si>
    <t>黎諾謙</t>
  </si>
  <si>
    <t>林弈冉</t>
  </si>
  <si>
    <t>劉宇航</t>
  </si>
  <si>
    <t>羅奕風</t>
  </si>
  <si>
    <t>梁卓楠</t>
  </si>
  <si>
    <t>梁名浩</t>
  </si>
  <si>
    <t>梁韶峯</t>
  </si>
  <si>
    <t>馬英權</t>
  </si>
  <si>
    <t>伍錦俊</t>
  </si>
  <si>
    <t>吳信晞</t>
  </si>
  <si>
    <t>楊子健</t>
  </si>
  <si>
    <t>葉其丰</t>
  </si>
  <si>
    <t>朱子杰</t>
  </si>
  <si>
    <t>張浩龍</t>
  </si>
  <si>
    <t>莊嘉揚</t>
  </si>
  <si>
    <t>周鍵朗</t>
  </si>
  <si>
    <t>何梓發</t>
  </si>
  <si>
    <t>賈諾</t>
  </si>
  <si>
    <t>黎幾源</t>
  </si>
  <si>
    <t>雷耀翔</t>
  </si>
  <si>
    <t>梁晉熙</t>
  </si>
  <si>
    <t>梁嘉俊</t>
  </si>
  <si>
    <t>李灝軒</t>
  </si>
  <si>
    <t>李進熙</t>
  </si>
  <si>
    <t>盧俊強</t>
  </si>
  <si>
    <t>馬劍銘</t>
  </si>
  <si>
    <t>莫柏霖</t>
  </si>
  <si>
    <t>吳栢曦</t>
  </si>
  <si>
    <t>伍子健</t>
  </si>
  <si>
    <t>潘子丞</t>
  </si>
  <si>
    <t>孫浚僖</t>
  </si>
  <si>
    <t>謝康進</t>
  </si>
  <si>
    <t>謝朗錡</t>
  </si>
  <si>
    <t>謝沛熹</t>
  </si>
  <si>
    <t>黃晞然</t>
  </si>
  <si>
    <t>黃皓天</t>
  </si>
  <si>
    <t>王嘉浩</t>
  </si>
  <si>
    <t>黃銘燊</t>
  </si>
  <si>
    <t>余曉輝</t>
  </si>
  <si>
    <t>袁家謙</t>
  </si>
  <si>
    <t>CONDEZ KELVIN LOUISE</t>
  </si>
  <si>
    <t>陳經煒</t>
  </si>
  <si>
    <t>陳梓傲</t>
  </si>
  <si>
    <t>陳嘉明</t>
  </si>
  <si>
    <t>蔡建威</t>
  </si>
  <si>
    <t>蔡勇信</t>
  </si>
  <si>
    <t>周倬匡</t>
  </si>
  <si>
    <t>崔恩健</t>
  </si>
  <si>
    <t>馮睿明</t>
  </si>
  <si>
    <t>何永城</t>
  </si>
  <si>
    <t>郭宏</t>
  </si>
  <si>
    <t>林致翔</t>
  </si>
  <si>
    <t>林梓穎</t>
  </si>
  <si>
    <t>劉卓熙</t>
  </si>
  <si>
    <t>羅佳睿</t>
  </si>
  <si>
    <t>李栢余</t>
  </si>
  <si>
    <t>劉啟軒</t>
  </si>
  <si>
    <t>羅健銘</t>
  </si>
  <si>
    <t>馬君豪</t>
  </si>
  <si>
    <t>馬翊軒</t>
  </si>
  <si>
    <t>吳昊</t>
  </si>
  <si>
    <t>吳天樂</t>
  </si>
  <si>
    <t>宋宇恆</t>
  </si>
  <si>
    <t>梁泰郎</t>
  </si>
  <si>
    <t>謝汶軒</t>
  </si>
  <si>
    <t>黃心玄</t>
  </si>
  <si>
    <t>黃宜偉</t>
  </si>
  <si>
    <t>容安康</t>
  </si>
  <si>
    <t>周嘉華</t>
  </si>
  <si>
    <t>鄒嘉銘</t>
  </si>
  <si>
    <t>鄒鎮杰</t>
  </si>
  <si>
    <t>何坤滿</t>
  </si>
  <si>
    <t>陳皓鋒</t>
  </si>
  <si>
    <t>張智泓</t>
  </si>
  <si>
    <t>張恩熙</t>
  </si>
  <si>
    <t>洪梓竣</t>
  </si>
  <si>
    <t>關嘉豪</t>
  </si>
  <si>
    <t>林少鋒</t>
  </si>
  <si>
    <t>李俊軒</t>
  </si>
  <si>
    <t>廖國邦</t>
  </si>
  <si>
    <t>門志祈</t>
  </si>
  <si>
    <t>魏泳謙</t>
  </si>
  <si>
    <t>鄧溢俊</t>
  </si>
  <si>
    <t>衞英明</t>
  </si>
  <si>
    <t>黃俊杰</t>
  </si>
  <si>
    <t>黄建衡</t>
  </si>
  <si>
    <t>丘志諾</t>
  </si>
  <si>
    <t>葉文豪</t>
  </si>
  <si>
    <t>余晉匡</t>
  </si>
  <si>
    <t>張竟浩</t>
  </si>
  <si>
    <t>陳宇傑</t>
  </si>
  <si>
    <t>張翹鋒</t>
  </si>
  <si>
    <t>張恩政</t>
  </si>
  <si>
    <t>伊耀駿</t>
  </si>
  <si>
    <t>何兆然</t>
  </si>
  <si>
    <t>劉子熙</t>
  </si>
  <si>
    <t>李頌仁</t>
  </si>
  <si>
    <t>李海俊</t>
  </si>
  <si>
    <t>鄧泉源</t>
  </si>
  <si>
    <t>余卓晉</t>
  </si>
  <si>
    <t>汪洋</t>
  </si>
  <si>
    <t>黃重衡</t>
  </si>
  <si>
    <t>王彥熹</t>
  </si>
  <si>
    <t>吳坤豪</t>
  </si>
  <si>
    <t>胡宇軒</t>
  </si>
  <si>
    <t>楊朗懿</t>
  </si>
  <si>
    <t>林灝峰</t>
  </si>
  <si>
    <t>黎懷天</t>
  </si>
  <si>
    <t>梁卓培</t>
  </si>
  <si>
    <t>何家寶</t>
  </si>
  <si>
    <t>鄺淳喆</t>
  </si>
  <si>
    <t>王焯熙</t>
  </si>
  <si>
    <t>畢熙儀</t>
  </si>
  <si>
    <t>陳佳欣</t>
  </si>
  <si>
    <t>陳榮熙</t>
  </si>
  <si>
    <t>周啟仁</t>
  </si>
  <si>
    <t>張卓軒</t>
  </si>
  <si>
    <t>張逸朗</t>
  </si>
  <si>
    <t>張菀芝</t>
  </si>
  <si>
    <t>趙璟燊</t>
  </si>
  <si>
    <t>蔡穎軒</t>
  </si>
  <si>
    <t>戴子樂</t>
  </si>
  <si>
    <t>鄧嘉豪</t>
  </si>
  <si>
    <t>黃錦文</t>
  </si>
  <si>
    <t>甘雅文</t>
  </si>
  <si>
    <t>黎詩彤</t>
  </si>
  <si>
    <t>林晞澄</t>
  </si>
  <si>
    <t>廖泳嫣</t>
  </si>
  <si>
    <t>盧耀軒</t>
  </si>
  <si>
    <t>馬浩鏞</t>
  </si>
  <si>
    <t>馬健鵬</t>
  </si>
  <si>
    <t>馬芯瑤</t>
  </si>
  <si>
    <t>彭智剛</t>
  </si>
  <si>
    <t>温浚</t>
  </si>
  <si>
    <t>温子樂</t>
  </si>
  <si>
    <t>謝偉健</t>
  </si>
  <si>
    <t>許德成</t>
  </si>
  <si>
    <t>嚴竣暉</t>
  </si>
  <si>
    <t>陳卓瑤</t>
  </si>
  <si>
    <t>陳啟豐</t>
  </si>
  <si>
    <t>陳泳希</t>
  </si>
  <si>
    <t>張凱珊</t>
  </si>
  <si>
    <t>張家誠</t>
  </si>
  <si>
    <t>朱哲豪</t>
  </si>
  <si>
    <t>崔妤澄</t>
  </si>
  <si>
    <t>何逸朗</t>
  </si>
  <si>
    <t>黃貴詩</t>
  </si>
  <si>
    <t>黃智峰</t>
  </si>
  <si>
    <t>許乾亨</t>
  </si>
  <si>
    <t>黎建宏</t>
  </si>
  <si>
    <t>林翠均</t>
  </si>
  <si>
    <t>劉思希</t>
  </si>
  <si>
    <t>梁灝軒</t>
  </si>
  <si>
    <t>李曉妍</t>
  </si>
  <si>
    <t>李文杰</t>
  </si>
  <si>
    <t>梁健華</t>
  </si>
  <si>
    <t>馬泳琳</t>
  </si>
  <si>
    <t>宋曉漫</t>
  </si>
  <si>
    <t>曾峻熙</t>
  </si>
  <si>
    <t>謝禮健</t>
  </si>
  <si>
    <t>黃駿希</t>
  </si>
  <si>
    <t>黃志昊</t>
  </si>
  <si>
    <t>黃衎儉</t>
  </si>
  <si>
    <t>楊紫熒</t>
  </si>
  <si>
    <t>游禮丁</t>
  </si>
  <si>
    <t>曾梓宜</t>
  </si>
  <si>
    <t>張文浩</t>
  </si>
  <si>
    <t>朱睿珊</t>
  </si>
  <si>
    <t>陳熙楠</t>
  </si>
  <si>
    <t>陳喜洋</t>
  </si>
  <si>
    <t>陳岸岐</t>
  </si>
  <si>
    <t>陳東浩</t>
  </si>
  <si>
    <t>范霈宜</t>
  </si>
  <si>
    <t>何麗雯</t>
  </si>
  <si>
    <t>林曹格</t>
  </si>
  <si>
    <t>劉浩庭</t>
  </si>
  <si>
    <t>劉子京</t>
  </si>
  <si>
    <t>李浚僖</t>
  </si>
  <si>
    <t>李俊熙</t>
  </si>
  <si>
    <t>盧俊軒</t>
  </si>
  <si>
    <t>倫詠嵐</t>
  </si>
  <si>
    <t>麥志謙</t>
  </si>
  <si>
    <t>辛莹臻</t>
  </si>
  <si>
    <t>鄧智謙</t>
  </si>
  <si>
    <t>鄧皓軒</t>
  </si>
  <si>
    <t>田瑞澤</t>
  </si>
  <si>
    <t>鄔子朗</t>
  </si>
  <si>
    <t>王冠森</t>
  </si>
  <si>
    <t>汪逸朗</t>
  </si>
  <si>
    <t>曾裕琛</t>
  </si>
  <si>
    <t>張燁</t>
  </si>
  <si>
    <t>鄭智航</t>
  </si>
  <si>
    <t>陳子軒</t>
  </si>
  <si>
    <t>周志浚</t>
  </si>
  <si>
    <t>鄭栢猷</t>
  </si>
  <si>
    <t>張柏言</t>
  </si>
  <si>
    <t>徐昌宏</t>
  </si>
  <si>
    <t>郭俊軒</t>
  </si>
  <si>
    <t>林卓謙</t>
  </si>
  <si>
    <t>李嘉盈</t>
  </si>
  <si>
    <t>李諾銘</t>
  </si>
  <si>
    <t>林紫微</t>
  </si>
  <si>
    <t>老洪彥</t>
  </si>
  <si>
    <t>駱嘉頤</t>
  </si>
  <si>
    <t>盧泳謙</t>
  </si>
  <si>
    <t>呂栐濤</t>
  </si>
  <si>
    <t>吳卓霖</t>
  </si>
  <si>
    <t>聶穎詩</t>
  </si>
  <si>
    <t>衞健明</t>
  </si>
  <si>
    <t>王嘉穎</t>
  </si>
  <si>
    <t>黃梓浩</t>
  </si>
  <si>
    <t>黃慧淳</t>
  </si>
  <si>
    <t>曾方亮</t>
  </si>
  <si>
    <t>鍾士鈞</t>
  </si>
  <si>
    <t>周文希</t>
  </si>
  <si>
    <t>林泳升</t>
  </si>
  <si>
    <t>鄭勇俊</t>
  </si>
  <si>
    <t>羅智階</t>
  </si>
  <si>
    <t>林永鏘</t>
  </si>
  <si>
    <t>班別</t>
  </si>
  <si>
    <t>班號</t>
  </si>
  <si>
    <t>姓名</t>
  </si>
  <si>
    <t>藍思樂</t>
  </si>
  <si>
    <t>劉梓健</t>
  </si>
  <si>
    <t>類別</t>
  </si>
  <si>
    <t>李冠豪</t>
  </si>
  <si>
    <t>劉美希</t>
  </si>
  <si>
    <t>馬光宗</t>
  </si>
  <si>
    <t>許嘉傑</t>
  </si>
  <si>
    <t>歐冠亨</t>
  </si>
  <si>
    <t>陳暉恩</t>
  </si>
  <si>
    <t>陳柏謙</t>
  </si>
  <si>
    <t>張永熹</t>
  </si>
  <si>
    <t>崔峻熙</t>
  </si>
  <si>
    <t>馮鍩禧</t>
  </si>
  <si>
    <t>許仲爵</t>
  </si>
  <si>
    <t>菅梓齊</t>
  </si>
  <si>
    <t>詹睿</t>
  </si>
  <si>
    <t>江梓柔</t>
  </si>
  <si>
    <t>鄺卓言</t>
  </si>
  <si>
    <t>林嘉壹</t>
  </si>
  <si>
    <t>林穎彤</t>
  </si>
  <si>
    <t>李承溱</t>
  </si>
  <si>
    <t>李子瑩</t>
  </si>
  <si>
    <t>林峻銘</t>
  </si>
  <si>
    <t>林彥博</t>
  </si>
  <si>
    <t>盧俊傑</t>
  </si>
  <si>
    <t>馬子超</t>
  </si>
  <si>
    <t>麥貝兒</t>
  </si>
  <si>
    <t>吳梓雋</t>
  </si>
  <si>
    <t>吳育叡</t>
  </si>
  <si>
    <t>宋長煜</t>
  </si>
  <si>
    <t>黃昊章</t>
  </si>
  <si>
    <t>黃雨軒</t>
  </si>
  <si>
    <t>王雨漩</t>
  </si>
  <si>
    <t>王雨澌</t>
  </si>
  <si>
    <t>顏梓軒</t>
  </si>
  <si>
    <t>楊晶晶</t>
  </si>
  <si>
    <t>余錦豪</t>
  </si>
  <si>
    <t>鄭柏謙</t>
  </si>
  <si>
    <t>陳衍錞</t>
  </si>
  <si>
    <t>陳芷瑤</t>
  </si>
  <si>
    <t>陳偉樂</t>
  </si>
  <si>
    <t>陳諾</t>
  </si>
  <si>
    <t>陳奕澎</t>
  </si>
  <si>
    <t>鄭梓晴</t>
  </si>
  <si>
    <t>鄭梓諾</t>
  </si>
  <si>
    <t>張浩賢</t>
  </si>
  <si>
    <t>張心韻</t>
  </si>
  <si>
    <t>蔡梓豪</t>
  </si>
  <si>
    <t>莊博濤</t>
  </si>
  <si>
    <t>江駿熙</t>
  </si>
  <si>
    <t>顧家銘</t>
  </si>
  <si>
    <t>關伂傜</t>
  </si>
  <si>
    <t>黎珈瑋</t>
  </si>
  <si>
    <t>黎文昊</t>
  </si>
  <si>
    <t>李宇軒</t>
  </si>
  <si>
    <t>梁梓淇</t>
  </si>
  <si>
    <t>劉一琳</t>
  </si>
  <si>
    <t>羅焯蕊</t>
  </si>
  <si>
    <t>龍俊朗</t>
  </si>
  <si>
    <t>麥泳瓏</t>
  </si>
  <si>
    <t>蒙家傑</t>
  </si>
  <si>
    <t>施駿鴻</t>
  </si>
  <si>
    <t>沈陳熹</t>
  </si>
  <si>
    <t>王康程</t>
  </si>
  <si>
    <t>黃紫儀</t>
  </si>
  <si>
    <t>溫樂悠</t>
  </si>
  <si>
    <t>徐雅韻</t>
  </si>
  <si>
    <t>余卓瑩</t>
  </si>
  <si>
    <t>曾裕軒</t>
  </si>
  <si>
    <t>陳浩霆</t>
  </si>
  <si>
    <t>陳嘉俊</t>
  </si>
  <si>
    <t>陳百亨</t>
  </si>
  <si>
    <t>陳柏廸</t>
  </si>
  <si>
    <t>周縉謙</t>
  </si>
  <si>
    <t>陳耀鋒</t>
  </si>
  <si>
    <t>鄭禮翔</t>
  </si>
  <si>
    <t>鄭文龍</t>
  </si>
  <si>
    <t>張冬瞳</t>
  </si>
  <si>
    <t>朱寶龍</t>
  </si>
  <si>
    <t>鍾嘉恩</t>
  </si>
  <si>
    <t>何俊朗</t>
  </si>
  <si>
    <t>洪鎮宇</t>
  </si>
  <si>
    <t>高孝權</t>
  </si>
  <si>
    <t>林家豪</t>
  </si>
  <si>
    <t>劉逸心</t>
  </si>
  <si>
    <t>梁震軒</t>
  </si>
  <si>
    <t>梁錦軒</t>
  </si>
  <si>
    <t>李嘉輝</t>
  </si>
  <si>
    <t>林頌越</t>
  </si>
  <si>
    <t>馬樂芊</t>
  </si>
  <si>
    <t>曾宇悠</t>
  </si>
  <si>
    <t>王俊裕</t>
  </si>
  <si>
    <t>王承霖</t>
  </si>
  <si>
    <t>黃維焌</t>
  </si>
  <si>
    <t>俞梓翔</t>
  </si>
  <si>
    <t>張耀泰</t>
  </si>
  <si>
    <t>周雪瀅</t>
  </si>
  <si>
    <t>陳卓曦</t>
  </si>
  <si>
    <t>陳煒晴</t>
  </si>
  <si>
    <t>陳焯霆</t>
  </si>
  <si>
    <t>鄭芯茹</t>
  </si>
  <si>
    <t>蔡紫瀅</t>
  </si>
  <si>
    <t>戴曉楠</t>
  </si>
  <si>
    <t>古浩龍</t>
  </si>
  <si>
    <t>郭子琴</t>
  </si>
  <si>
    <t>林咏彤</t>
  </si>
  <si>
    <t>劉晉軒</t>
  </si>
  <si>
    <t>劉一諾</t>
  </si>
  <si>
    <t>梁倬綸</t>
  </si>
  <si>
    <t>梁琛沁</t>
  </si>
  <si>
    <t>梁鸿彬</t>
  </si>
  <si>
    <t>劉家俊</t>
  </si>
  <si>
    <t>馬梓庭</t>
  </si>
  <si>
    <t>文健澄</t>
  </si>
  <si>
    <t>吳思翰</t>
  </si>
  <si>
    <t>冼煒樂</t>
  </si>
  <si>
    <t>黃晞舜</t>
  </si>
  <si>
    <t>黃朗僑</t>
  </si>
  <si>
    <t>黃梓羽</t>
  </si>
  <si>
    <t>吳嘉雯</t>
  </si>
  <si>
    <t>徐培鈞</t>
  </si>
  <si>
    <t>邱仲熙</t>
  </si>
  <si>
    <t>邱德朗</t>
  </si>
  <si>
    <t>葉志壕</t>
  </si>
  <si>
    <t>余韋樂</t>
  </si>
  <si>
    <t>張城睿</t>
  </si>
  <si>
    <t>温嘉玥</t>
  </si>
  <si>
    <t>退學</t>
  </si>
  <si>
    <t>王小野</t>
  </si>
  <si>
    <t>3B</t>
  </si>
  <si>
    <t>麥曦元</t>
  </si>
  <si>
    <t>陳佳瑜</t>
  </si>
  <si>
    <t>陳烈熙</t>
  </si>
  <si>
    <t>陳能著</t>
  </si>
  <si>
    <t>程梓晉</t>
  </si>
  <si>
    <t>張昱傑</t>
  </si>
  <si>
    <t>趙逴謙</t>
  </si>
  <si>
    <t>周宣靖</t>
  </si>
  <si>
    <t>馮梓杰</t>
  </si>
  <si>
    <t>關凱琪</t>
  </si>
  <si>
    <t>何永恒</t>
  </si>
  <si>
    <t>簡致易</t>
  </si>
  <si>
    <t>林曉楓</t>
  </si>
  <si>
    <t>劉宏諾</t>
  </si>
  <si>
    <t>羅駿宏</t>
  </si>
  <si>
    <t>李星儀</t>
  </si>
  <si>
    <t>龍柏宇</t>
  </si>
  <si>
    <t>羅藝賢</t>
  </si>
  <si>
    <t>伍少軒</t>
  </si>
  <si>
    <t>吳紫琳</t>
  </si>
  <si>
    <t>顏逸晴</t>
  </si>
  <si>
    <t>龐智城</t>
  </si>
  <si>
    <t>戴睿翔</t>
  </si>
  <si>
    <t>黃皓蔚</t>
  </si>
  <si>
    <t>黃梓軒</t>
  </si>
  <si>
    <t>吳兆煜</t>
  </si>
  <si>
    <t>曾鵬</t>
  </si>
  <si>
    <t>曾煒杰</t>
  </si>
  <si>
    <t>安子柔</t>
  </si>
  <si>
    <t>蔡臻杰</t>
  </si>
  <si>
    <t>陳梓琪</t>
  </si>
  <si>
    <t>鄒映蕎</t>
  </si>
  <si>
    <t>陳立軒</t>
  </si>
  <si>
    <t>卓思雅</t>
  </si>
  <si>
    <t>蔡梓琪</t>
  </si>
  <si>
    <t>何文熙</t>
  </si>
  <si>
    <t>關卓希</t>
  </si>
  <si>
    <t>黎樂儀</t>
  </si>
  <si>
    <t>林希澄</t>
  </si>
  <si>
    <t>林依瀞</t>
  </si>
  <si>
    <t>劉穎淇</t>
  </si>
  <si>
    <t>柳穎君</t>
  </si>
  <si>
    <t>劉欣婷</t>
  </si>
  <si>
    <t>李寅</t>
  </si>
  <si>
    <t>盧卓謙</t>
  </si>
  <si>
    <t>羅敏之</t>
  </si>
  <si>
    <t>馬千雯</t>
  </si>
  <si>
    <t>石佳莉</t>
  </si>
  <si>
    <t>曾婉晴</t>
  </si>
  <si>
    <t>徐梓進</t>
  </si>
  <si>
    <t>黃棹穎</t>
  </si>
  <si>
    <t>嚴梓琳</t>
  </si>
  <si>
    <t>楊梓浩</t>
  </si>
  <si>
    <t>趙卓暉</t>
  </si>
  <si>
    <t>鍾嘉怡</t>
  </si>
  <si>
    <t>陳倚雯</t>
  </si>
  <si>
    <t>陳映欣</t>
  </si>
  <si>
    <t>陳浩鋒</t>
  </si>
  <si>
    <t>陳建岐</t>
  </si>
  <si>
    <t>張文軒</t>
  </si>
  <si>
    <t>張善婷</t>
  </si>
  <si>
    <t>張彧舸</t>
  </si>
  <si>
    <t>朱展君</t>
  </si>
  <si>
    <t>朱俊成</t>
  </si>
  <si>
    <t>何翱翹</t>
  </si>
  <si>
    <t>姜懿熙</t>
  </si>
  <si>
    <t>劉梓希</t>
  </si>
  <si>
    <t>李卓希</t>
  </si>
  <si>
    <t>梁俊彥</t>
  </si>
  <si>
    <t>李竣熙</t>
  </si>
  <si>
    <t>李永健</t>
  </si>
  <si>
    <t>莫焯琳</t>
  </si>
  <si>
    <t>顏灼怡</t>
  </si>
  <si>
    <t>邵凱琳</t>
  </si>
  <si>
    <t>溫梓蕘</t>
  </si>
  <si>
    <t>王嘉欣</t>
  </si>
  <si>
    <t>黃佳楠</t>
  </si>
  <si>
    <t>黃柏豪</t>
  </si>
  <si>
    <t>鄒錦鴻</t>
  </si>
  <si>
    <t>蔡銘軒</t>
  </si>
  <si>
    <t>蔡梓晴</t>
  </si>
  <si>
    <t>蔡子樂</t>
  </si>
  <si>
    <t>陳冠勛</t>
  </si>
  <si>
    <t>莊偉樑</t>
  </si>
  <si>
    <t>鍾智攀</t>
  </si>
  <si>
    <t>鍾裴</t>
  </si>
  <si>
    <t>何健晞</t>
  </si>
  <si>
    <t>何業勤</t>
  </si>
  <si>
    <t>黃家諾</t>
  </si>
  <si>
    <t>關梓軒</t>
  </si>
  <si>
    <t>梁芷欣</t>
  </si>
  <si>
    <t>李錦汉</t>
  </si>
  <si>
    <t>李啓廷</t>
  </si>
  <si>
    <t>劉奕辰</t>
  </si>
  <si>
    <t>盧學霖</t>
  </si>
  <si>
    <t>呂天娜</t>
  </si>
  <si>
    <t>麥咏茵</t>
  </si>
  <si>
    <t>蘇鍵臻</t>
  </si>
  <si>
    <t>譚曉瑜</t>
  </si>
  <si>
    <t>徐夢</t>
  </si>
  <si>
    <t>衛鎂沂</t>
  </si>
  <si>
    <t>黃梓瑄</t>
  </si>
  <si>
    <t>嚴英杰</t>
  </si>
  <si>
    <t>莊焌熙</t>
  </si>
  <si>
    <t>曾成熙</t>
  </si>
  <si>
    <t>余沛誼</t>
  </si>
  <si>
    <t>易嘉祺</t>
  </si>
  <si>
    <t>張袁浩</t>
  </si>
  <si>
    <t>吳作程</t>
  </si>
  <si>
    <t>陳煻筱</t>
  </si>
  <si>
    <t>汪尹子旭</t>
  </si>
  <si>
    <t>王琢清</t>
  </si>
  <si>
    <t>肖珩毓</t>
  </si>
  <si>
    <t>楊子琦</t>
  </si>
  <si>
    <t>張正言</t>
  </si>
  <si>
    <t>張凱恒</t>
  </si>
  <si>
    <t>李泳琳</t>
  </si>
  <si>
    <t>李欣然</t>
  </si>
  <si>
    <t>田若琳</t>
  </si>
  <si>
    <t>莊泓益</t>
  </si>
  <si>
    <t>王紫彤</t>
  </si>
  <si>
    <t>鄺樂熔</t>
  </si>
  <si>
    <t>譚錦澤</t>
  </si>
  <si>
    <t>方涵熙</t>
  </si>
  <si>
    <t>鄺銘峰</t>
  </si>
  <si>
    <t>徐俊燃</t>
  </si>
  <si>
    <t>任語萱</t>
  </si>
  <si>
    <t>3A</t>
  </si>
  <si>
    <t>2025.08.25</t>
  </si>
  <si>
    <t>生效日期</t>
  </si>
  <si>
    <t>6C</t>
  </si>
  <si>
    <t>2025.08.31</t>
  </si>
  <si>
    <t>耿江澤</t>
  </si>
  <si>
    <t>葛旭萱</t>
  </si>
  <si>
    <t>周慶琳</t>
  </si>
  <si>
    <t>梁毅曦</t>
  </si>
  <si>
    <t>王子軒</t>
  </si>
  <si>
    <t>2D</t>
  </si>
  <si>
    <t>許珂</t>
  </si>
  <si>
    <t>2025.09.02</t>
  </si>
  <si>
    <t>4B</t>
  </si>
  <si>
    <t>黃家權</t>
  </si>
  <si>
    <t>2025.09.05</t>
  </si>
  <si>
    <t>路仕海</t>
  </si>
  <si>
    <t>2025.08.24</t>
  </si>
  <si>
    <t>3C</t>
  </si>
  <si>
    <t>1D</t>
  </si>
  <si>
    <t>路浩</t>
  </si>
  <si>
    <t>2025.08.18</t>
  </si>
  <si>
    <t>牛婧妤</t>
  </si>
  <si>
    <t>插班生</t>
  </si>
  <si>
    <t>2025.09.04</t>
  </si>
  <si>
    <t>黃榮富</t>
  </si>
  <si>
    <t>徐天一</t>
  </si>
  <si>
    <t>1C</t>
  </si>
  <si>
    <t>2025.09.23</t>
  </si>
  <si>
    <t>2025.09.22</t>
  </si>
  <si>
    <t>3D</t>
  </si>
  <si>
    <t>2025.09.21</t>
  </si>
  <si>
    <t>2C</t>
  </si>
  <si>
    <t>鄭子晞</t>
  </si>
  <si>
    <t>2025.10.10</t>
  </si>
  <si>
    <t>5C</t>
  </si>
  <si>
    <t>2025.10.17</t>
  </si>
  <si>
    <t>轉班別</t>
  </si>
  <si>
    <t>2025.11.11</t>
  </si>
  <si>
    <t>更新日期：2025.11.11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</si>
</sst>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9"/>
      <name val="新細明體"/>
      <family val="1"/>
      <charset val="136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b/>
      <sz val="14"/>
      <color rgb="FFFF0000"/>
      <name val="Times New Roman"/>
      <family val="1"/>
    </font>
    <font>
      <b/>
      <sz val="18"/>
      <color rgb="FFFF0000"/>
      <name val="Times New Roman"/>
      <family val="1"/>
    </font>
    <font>
      <i/>
      <sz val="10"/>
      <color theme="1"/>
      <name val="Times New Roman"/>
      <family val="1"/>
    </font>
    <font>
      <b/>
      <sz val="14"/>
      <name val="新細明體"/>
      <family val="1"/>
      <charset val="136"/>
    </font>
    <font>
      <sz val="14"/>
      <name val="新細明體"/>
      <family val="1"/>
      <charset val="136"/>
    </font>
    <font>
      <b/>
      <sz val="14"/>
      <color rgb="FFFF0000"/>
      <name val="新細明體"/>
      <family val="1"/>
      <charset val="136"/>
    </font>
    <font>
      <b/>
      <sz val="14"/>
      <color rgb="FF0000FF"/>
      <name val="新細明體"/>
      <family val="1"/>
      <charset val="136"/>
    </font>
    <font>
      <sz val="14"/>
      <color rgb="FF000000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6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FF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9">
    <xf numFmtId="0" fontId="0" fillId="0" borderId="0" xfId="0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Font="1"/>
    <xf numFmtId="0" fontId="15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7" fillId="7" borderId="1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</cellXfs>
  <cellStyles count="2">
    <cellStyle name="一般" xfId="0" builtinId="0"/>
    <cellStyle name="一般 4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41"/>
  <sheetViews>
    <sheetView tabSelected="1" topLeftCell="K1" zoomScale="136" zoomScaleNormal="136" workbookViewId="0">
      <pane ySplit="1" topLeftCell="A2" activePane="bottomLeft" state="frozen"/>
      <selection pane="bottomLeft" activeCell="AI42" sqref="AI42"/>
    </sheetView>
  </sheetViews>
  <sheetFormatPr defaultRowHeight="22.5" customHeight="1"/>
  <cols>
    <col min="1" max="1" width="3.5" style="1" bestFit="1" customWidth="1"/>
    <col min="2" max="5" width="6.75" style="1" bestFit="1" customWidth="1"/>
    <col min="6" max="6" width="5.625" style="1" customWidth="1"/>
    <col min="7" max="7" width="3.5" style="1" bestFit="1" customWidth="1"/>
    <col min="8" max="11" width="6.75" style="1" bestFit="1" customWidth="1"/>
    <col min="12" max="12" width="5.625" style="1" customWidth="1"/>
    <col min="13" max="13" width="3.875" style="1" bestFit="1" customWidth="1"/>
    <col min="14" max="17" width="7.5" style="1" bestFit="1" customWidth="1"/>
    <col min="18" max="18" width="5.75" style="1" customWidth="1"/>
    <col min="19" max="19" width="3.5" style="1" bestFit="1" customWidth="1"/>
    <col min="20" max="23" width="6.75" style="1" bestFit="1" customWidth="1"/>
    <col min="24" max="24" width="5.625" style="1" customWidth="1"/>
    <col min="25" max="25" width="3.5" style="1" bestFit="1" customWidth="1"/>
    <col min="26" max="29" width="6.75" style="1" bestFit="1" customWidth="1"/>
    <col min="30" max="30" width="5.625" style="1" customWidth="1"/>
    <col min="31" max="31" width="3.875" style="1" bestFit="1" customWidth="1"/>
    <col min="32" max="35" width="7.5" style="1" bestFit="1" customWidth="1"/>
    <col min="36" max="16384" width="9" style="1"/>
  </cols>
  <sheetData>
    <row r="1" spans="1:35" s="4" customFormat="1" ht="22.5" customHeight="1">
      <c r="B1" s="5" t="s">
        <v>0</v>
      </c>
      <c r="C1" s="5" t="s">
        <v>1</v>
      </c>
      <c r="D1" s="5" t="s">
        <v>2</v>
      </c>
      <c r="E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T1" s="5" t="s">
        <v>12</v>
      </c>
      <c r="U1" s="5" t="s">
        <v>13</v>
      </c>
      <c r="V1" s="5" t="s">
        <v>14</v>
      </c>
      <c r="W1" s="5" t="s">
        <v>15</v>
      </c>
      <c r="Z1" s="5" t="s">
        <v>16</v>
      </c>
      <c r="AA1" s="5" t="s">
        <v>17</v>
      </c>
      <c r="AB1" s="5" t="s">
        <v>18</v>
      </c>
      <c r="AC1" s="5" t="s">
        <v>19</v>
      </c>
      <c r="AF1" s="5" t="s">
        <v>20</v>
      </c>
      <c r="AG1" s="5" t="s">
        <v>21</v>
      </c>
      <c r="AH1" s="5" t="s">
        <v>22</v>
      </c>
      <c r="AI1" s="5" t="s">
        <v>23</v>
      </c>
    </row>
    <row r="2" spans="1:35" s="27" customFormat="1" ht="22.5" customHeight="1">
      <c r="A2" s="16">
        <v>1</v>
      </c>
      <c r="B2" s="19" t="s">
        <v>548</v>
      </c>
      <c r="C2" s="16" t="s">
        <v>575</v>
      </c>
      <c r="D2" s="16" t="s">
        <v>602</v>
      </c>
      <c r="E2" s="19" t="s">
        <v>626</v>
      </c>
      <c r="G2" s="16">
        <v>1</v>
      </c>
      <c r="H2" s="16" t="s">
        <v>424</v>
      </c>
      <c r="I2" s="20" t="s">
        <v>456</v>
      </c>
      <c r="J2" s="18" t="s">
        <v>486</v>
      </c>
      <c r="K2" s="21" t="s">
        <v>514</v>
      </c>
      <c r="M2" s="16">
        <v>1</v>
      </c>
      <c r="N2" s="16" t="s">
        <v>307</v>
      </c>
      <c r="O2" s="16" t="s">
        <v>363</v>
      </c>
      <c r="P2" s="21" t="s">
        <v>364</v>
      </c>
      <c r="Q2" s="16" t="s">
        <v>333</v>
      </c>
      <c r="S2" s="16">
        <v>1</v>
      </c>
      <c r="T2" s="22" t="s">
        <v>25</v>
      </c>
      <c r="U2" s="22" t="s">
        <v>102</v>
      </c>
      <c r="V2" s="16" t="s">
        <v>151</v>
      </c>
      <c r="W2" s="16" t="s">
        <v>79</v>
      </c>
      <c r="Y2" s="16">
        <v>1</v>
      </c>
      <c r="Z2" s="31" t="s">
        <v>127</v>
      </c>
      <c r="AA2" s="26" t="s">
        <v>170</v>
      </c>
      <c r="AB2" s="22" t="s">
        <v>155</v>
      </c>
      <c r="AC2" s="22" t="s">
        <v>169</v>
      </c>
      <c r="AE2" s="16">
        <v>1</v>
      </c>
      <c r="AF2" s="22" t="s">
        <v>236</v>
      </c>
      <c r="AG2" s="23" t="s">
        <v>238</v>
      </c>
      <c r="AH2" s="22" t="s">
        <v>266</v>
      </c>
      <c r="AI2" s="22" t="s">
        <v>267</v>
      </c>
    </row>
    <row r="3" spans="1:35" s="27" customFormat="1" ht="22.5" customHeight="1">
      <c r="A3" s="16">
        <v>2</v>
      </c>
      <c r="B3" s="16" t="s">
        <v>549</v>
      </c>
      <c r="C3" s="16" t="s">
        <v>576</v>
      </c>
      <c r="D3" s="19" t="s">
        <v>603</v>
      </c>
      <c r="E3" s="16" t="s">
        <v>627</v>
      </c>
      <c r="G3" s="16">
        <v>2</v>
      </c>
      <c r="H3" s="21" t="s">
        <v>455</v>
      </c>
      <c r="I3" s="20" t="s">
        <v>457</v>
      </c>
      <c r="J3" s="18" t="s">
        <v>487</v>
      </c>
      <c r="K3" s="21" t="s">
        <v>515</v>
      </c>
      <c r="M3" s="16">
        <v>2</v>
      </c>
      <c r="N3" s="16" t="s">
        <v>308</v>
      </c>
      <c r="O3" s="16" t="s">
        <v>334</v>
      </c>
      <c r="P3" s="16" t="s">
        <v>104</v>
      </c>
      <c r="Q3" s="16" t="s">
        <v>80</v>
      </c>
      <c r="S3" s="16">
        <v>2</v>
      </c>
      <c r="T3" s="22" t="s">
        <v>26</v>
      </c>
      <c r="U3" s="22" t="s">
        <v>103</v>
      </c>
      <c r="V3" s="16" t="s">
        <v>52</v>
      </c>
      <c r="W3" s="22" t="s">
        <v>152</v>
      </c>
      <c r="Y3" s="16">
        <v>2</v>
      </c>
      <c r="Z3" s="31" t="s">
        <v>128</v>
      </c>
      <c r="AA3" s="26" t="s">
        <v>171</v>
      </c>
      <c r="AB3" s="22" t="s">
        <v>268</v>
      </c>
      <c r="AC3" s="16" t="s">
        <v>154</v>
      </c>
      <c r="AE3" s="16">
        <v>2</v>
      </c>
      <c r="AF3" s="22" t="s">
        <v>237</v>
      </c>
      <c r="AG3" s="23" t="s">
        <v>285</v>
      </c>
      <c r="AH3" s="22" t="s">
        <v>286</v>
      </c>
      <c r="AI3" s="16" t="s">
        <v>210</v>
      </c>
    </row>
    <row r="4" spans="1:35" s="27" customFormat="1" ht="22.5" customHeight="1">
      <c r="A4" s="16">
        <v>3</v>
      </c>
      <c r="B4" s="24" t="s">
        <v>550</v>
      </c>
      <c r="C4" s="16" t="s">
        <v>577</v>
      </c>
      <c r="D4" s="16" t="s">
        <v>604</v>
      </c>
      <c r="E4" s="16" t="s">
        <v>628</v>
      </c>
      <c r="G4" s="16">
        <v>3</v>
      </c>
      <c r="H4" s="16" t="s">
        <v>425</v>
      </c>
      <c r="I4" s="20" t="s">
        <v>458</v>
      </c>
      <c r="J4" s="18" t="s">
        <v>488</v>
      </c>
      <c r="K4" s="21" t="s">
        <v>516</v>
      </c>
      <c r="M4" s="16">
        <v>3</v>
      </c>
      <c r="N4" s="16" t="s">
        <v>310</v>
      </c>
      <c r="O4" s="16" t="s">
        <v>661</v>
      </c>
      <c r="P4" s="21" t="s">
        <v>188</v>
      </c>
      <c r="Q4" s="16" t="s">
        <v>365</v>
      </c>
      <c r="S4" s="16">
        <v>3</v>
      </c>
      <c r="T4" s="22" t="s">
        <v>28</v>
      </c>
      <c r="U4" s="22" t="s">
        <v>27</v>
      </c>
      <c r="V4" s="16" t="s">
        <v>106</v>
      </c>
      <c r="W4" s="16" t="s">
        <v>107</v>
      </c>
      <c r="Y4" s="16">
        <v>3</v>
      </c>
      <c r="Z4" s="31" t="s">
        <v>129</v>
      </c>
      <c r="AA4" s="26" t="s">
        <v>153</v>
      </c>
      <c r="AB4" s="16" t="s">
        <v>158</v>
      </c>
      <c r="AC4" s="16" t="s">
        <v>189</v>
      </c>
      <c r="AE4" s="16">
        <v>3</v>
      </c>
      <c r="AF4" s="22" t="s">
        <v>208</v>
      </c>
      <c r="AG4" s="23" t="s">
        <v>239</v>
      </c>
      <c r="AH4" s="22" t="s">
        <v>209</v>
      </c>
      <c r="AI4" s="16" t="s">
        <v>272</v>
      </c>
    </row>
    <row r="5" spans="1:35" s="27" customFormat="1" ht="22.5" customHeight="1">
      <c r="A5" s="16">
        <v>4</v>
      </c>
      <c r="B5" s="16" t="s">
        <v>551</v>
      </c>
      <c r="C5" s="16" t="s">
        <v>578</v>
      </c>
      <c r="D5" s="16" t="s">
        <v>605</v>
      </c>
      <c r="E5" s="16" t="s">
        <v>629</v>
      </c>
      <c r="G5" s="16">
        <v>4</v>
      </c>
      <c r="H5" s="16" t="s">
        <v>426</v>
      </c>
      <c r="I5" s="20" t="s">
        <v>459</v>
      </c>
      <c r="J5" s="18" t="s">
        <v>489</v>
      </c>
      <c r="K5" s="21" t="s">
        <v>517</v>
      </c>
      <c r="M5" s="16">
        <v>4</v>
      </c>
      <c r="N5" s="16" t="s">
        <v>656</v>
      </c>
      <c r="O5" s="16" t="s">
        <v>662</v>
      </c>
      <c r="P5" s="21" t="s">
        <v>335</v>
      </c>
      <c r="Q5" s="16" t="s">
        <v>387</v>
      </c>
      <c r="S5" s="16">
        <v>4</v>
      </c>
      <c r="T5" s="22" t="s">
        <v>29</v>
      </c>
      <c r="U5" s="16" t="s">
        <v>53</v>
      </c>
      <c r="V5" s="22" t="s">
        <v>82</v>
      </c>
      <c r="W5" s="16" t="s">
        <v>108</v>
      </c>
      <c r="Y5" s="16">
        <v>4</v>
      </c>
      <c r="Z5" s="31" t="s">
        <v>131</v>
      </c>
      <c r="AA5" s="26" t="s">
        <v>172</v>
      </c>
      <c r="AB5" s="22" t="s">
        <v>287</v>
      </c>
      <c r="AC5" s="16" t="s">
        <v>288</v>
      </c>
      <c r="AE5" s="16">
        <v>4</v>
      </c>
      <c r="AF5" s="28" t="s">
        <v>235</v>
      </c>
      <c r="AG5" s="23" t="s">
        <v>240</v>
      </c>
      <c r="AH5" s="29"/>
      <c r="AI5" s="16" t="s">
        <v>247</v>
      </c>
    </row>
    <row r="6" spans="1:35" s="27" customFormat="1" ht="22.5" customHeight="1">
      <c r="A6" s="16">
        <v>5</v>
      </c>
      <c r="B6" s="16" t="s">
        <v>552</v>
      </c>
      <c r="C6" s="16" t="s">
        <v>579</v>
      </c>
      <c r="D6" s="25" t="s">
        <v>492</v>
      </c>
      <c r="E6" s="16" t="s">
        <v>630</v>
      </c>
      <c r="G6" s="16">
        <v>5</v>
      </c>
      <c r="H6" s="16" t="s">
        <v>427</v>
      </c>
      <c r="I6" s="20" t="s">
        <v>460</v>
      </c>
      <c r="J6" s="18" t="s">
        <v>490</v>
      </c>
      <c r="K6" s="21" t="s">
        <v>518</v>
      </c>
      <c r="M6" s="16">
        <v>5</v>
      </c>
      <c r="N6" s="16" t="s">
        <v>311</v>
      </c>
      <c r="O6" s="16" t="s">
        <v>336</v>
      </c>
      <c r="P6" s="21" t="s">
        <v>309</v>
      </c>
      <c r="Q6" s="16" t="s">
        <v>366</v>
      </c>
      <c r="S6" s="16">
        <v>5</v>
      </c>
      <c r="T6" s="22" t="s">
        <v>670</v>
      </c>
      <c r="U6" s="22" t="s">
        <v>105</v>
      </c>
      <c r="V6" s="16" t="s">
        <v>56</v>
      </c>
      <c r="W6" s="16" t="s">
        <v>57</v>
      </c>
      <c r="Y6" s="16">
        <v>5</v>
      </c>
      <c r="Z6" s="31" t="s">
        <v>132</v>
      </c>
      <c r="AA6" s="26" t="s">
        <v>190</v>
      </c>
      <c r="AB6" s="22" t="s">
        <v>269</v>
      </c>
      <c r="AC6" s="16" t="s">
        <v>162</v>
      </c>
      <c r="AE6" s="16">
        <v>5</v>
      </c>
      <c r="AF6" s="22" t="s">
        <v>211</v>
      </c>
      <c r="AG6" s="23" t="s">
        <v>241</v>
      </c>
      <c r="AH6" s="22" t="s">
        <v>270</v>
      </c>
      <c r="AI6" s="16" t="s">
        <v>248</v>
      </c>
    </row>
    <row r="7" spans="1:35" s="27" customFormat="1" ht="22.5" customHeight="1">
      <c r="A7" s="16">
        <v>6</v>
      </c>
      <c r="B7" s="16" t="s">
        <v>553</v>
      </c>
      <c r="C7" s="16" t="s">
        <v>580</v>
      </c>
      <c r="D7" s="16" t="s">
        <v>606</v>
      </c>
      <c r="E7" s="16" t="s">
        <v>631</v>
      </c>
      <c r="G7" s="16">
        <v>6</v>
      </c>
      <c r="H7" s="16" t="s">
        <v>650</v>
      </c>
      <c r="I7" s="20" t="s">
        <v>461</v>
      </c>
      <c r="J7" s="18" t="s">
        <v>491</v>
      </c>
      <c r="K7" s="21" t="s">
        <v>519</v>
      </c>
      <c r="M7" s="16">
        <v>6</v>
      </c>
      <c r="N7" s="16" t="s">
        <v>312</v>
      </c>
      <c r="O7" s="16" t="s">
        <v>338</v>
      </c>
      <c r="P7" s="21" t="s">
        <v>390</v>
      </c>
      <c r="Q7" s="16" t="s">
        <v>388</v>
      </c>
      <c r="S7" s="16">
        <v>6</v>
      </c>
      <c r="T7" s="22" t="s">
        <v>31</v>
      </c>
      <c r="U7" s="22" t="s">
        <v>81</v>
      </c>
      <c r="V7" s="16" t="s">
        <v>83</v>
      </c>
      <c r="W7" s="16" t="s">
        <v>84</v>
      </c>
      <c r="Y7" s="16">
        <v>6</v>
      </c>
      <c r="Z7" s="31" t="s">
        <v>133</v>
      </c>
      <c r="AA7" s="26" t="s">
        <v>173</v>
      </c>
      <c r="AB7" s="16" t="s">
        <v>195</v>
      </c>
      <c r="AC7" s="16" t="s">
        <v>177</v>
      </c>
      <c r="AE7" s="16">
        <v>6</v>
      </c>
      <c r="AF7" s="22" t="s">
        <v>244</v>
      </c>
      <c r="AG7" s="23" t="s">
        <v>242</v>
      </c>
      <c r="AH7" s="16" t="s">
        <v>271</v>
      </c>
      <c r="AI7" s="16" t="s">
        <v>303</v>
      </c>
    </row>
    <row r="8" spans="1:35" s="27" customFormat="1" ht="22.5" customHeight="1">
      <c r="A8" s="16">
        <v>7</v>
      </c>
      <c r="B8" s="19" t="s">
        <v>554</v>
      </c>
      <c r="C8" s="16" t="s">
        <v>581</v>
      </c>
      <c r="D8" s="16" t="s">
        <v>607</v>
      </c>
      <c r="E8" s="16" t="s">
        <v>632</v>
      </c>
      <c r="G8" s="16">
        <v>7</v>
      </c>
      <c r="H8" s="16" t="s">
        <v>428</v>
      </c>
      <c r="I8" s="20" t="s">
        <v>462</v>
      </c>
      <c r="J8" s="18" t="s">
        <v>493</v>
      </c>
      <c r="K8" s="21" t="s">
        <v>520</v>
      </c>
      <c r="M8" s="16">
        <v>7</v>
      </c>
      <c r="N8" s="16" t="s">
        <v>313</v>
      </c>
      <c r="O8" s="16" t="s">
        <v>30</v>
      </c>
      <c r="P8" s="16" t="s">
        <v>315</v>
      </c>
      <c r="Q8" s="16" t="s">
        <v>389</v>
      </c>
      <c r="S8" s="16">
        <v>7</v>
      </c>
      <c r="T8" s="22" t="s">
        <v>32</v>
      </c>
      <c r="U8" s="22" t="s">
        <v>54</v>
      </c>
      <c r="V8" s="16" t="s">
        <v>85</v>
      </c>
      <c r="W8" s="16" t="s">
        <v>109</v>
      </c>
      <c r="Y8" s="16">
        <v>7</v>
      </c>
      <c r="Z8" s="31" t="s">
        <v>134</v>
      </c>
      <c r="AA8" s="26" t="s">
        <v>157</v>
      </c>
      <c r="AB8" s="16" t="s">
        <v>176</v>
      </c>
      <c r="AC8" s="16" t="s">
        <v>200</v>
      </c>
      <c r="AE8" s="16">
        <v>7</v>
      </c>
      <c r="AF8" s="22" t="s">
        <v>212</v>
      </c>
      <c r="AG8" s="23" t="s">
        <v>243</v>
      </c>
      <c r="AH8" s="16" t="s">
        <v>213</v>
      </c>
      <c r="AI8" s="16" t="s">
        <v>273</v>
      </c>
    </row>
    <row r="9" spans="1:35" s="27" customFormat="1" ht="22.5" customHeight="1">
      <c r="A9" s="16">
        <v>8</v>
      </c>
      <c r="B9" s="19" t="s">
        <v>555</v>
      </c>
      <c r="C9" s="19" t="s">
        <v>582</v>
      </c>
      <c r="D9" s="25" t="s">
        <v>494</v>
      </c>
      <c r="E9" s="19" t="s">
        <v>633</v>
      </c>
      <c r="G9" s="16">
        <v>8</v>
      </c>
      <c r="H9" s="16" t="s">
        <v>429</v>
      </c>
      <c r="I9" s="20" t="s">
        <v>463</v>
      </c>
      <c r="J9" s="29"/>
      <c r="K9" s="21" t="s">
        <v>392</v>
      </c>
      <c r="M9" s="16">
        <v>8</v>
      </c>
      <c r="N9" s="16" t="s">
        <v>314</v>
      </c>
      <c r="O9" s="16" t="s">
        <v>368</v>
      </c>
      <c r="P9" s="16" t="s">
        <v>391</v>
      </c>
      <c r="Q9" s="16" t="s">
        <v>337</v>
      </c>
      <c r="S9" s="16">
        <v>8</v>
      </c>
      <c r="T9" s="22" t="s">
        <v>33</v>
      </c>
      <c r="U9" s="22" t="s">
        <v>55</v>
      </c>
      <c r="V9" s="22" t="s">
        <v>87</v>
      </c>
      <c r="W9" s="16" t="s">
        <v>110</v>
      </c>
      <c r="Y9" s="16">
        <v>8</v>
      </c>
      <c r="Z9" s="31" t="s">
        <v>135</v>
      </c>
      <c r="AA9" s="26" t="s">
        <v>159</v>
      </c>
      <c r="AB9" s="16" t="s">
        <v>197</v>
      </c>
      <c r="AC9" s="16" t="s">
        <v>420</v>
      </c>
      <c r="AE9" s="16">
        <v>8</v>
      </c>
      <c r="AF9" s="22" t="s">
        <v>245</v>
      </c>
      <c r="AG9" s="23" t="s">
        <v>246</v>
      </c>
      <c r="AH9" s="16" t="s">
        <v>302</v>
      </c>
      <c r="AI9" s="16" t="s">
        <v>254</v>
      </c>
    </row>
    <row r="10" spans="1:35" s="27" customFormat="1" ht="22.5" customHeight="1">
      <c r="A10" s="16">
        <v>9</v>
      </c>
      <c r="B10" s="19" t="s">
        <v>556</v>
      </c>
      <c r="C10" s="19" t="s">
        <v>583</v>
      </c>
      <c r="D10" s="16" t="s">
        <v>608</v>
      </c>
      <c r="E10" s="19" t="s">
        <v>634</v>
      </c>
      <c r="G10" s="16">
        <v>9</v>
      </c>
      <c r="H10" s="16" t="s">
        <v>430</v>
      </c>
      <c r="I10" s="20" t="s">
        <v>464</v>
      </c>
      <c r="J10" s="18" t="s">
        <v>156</v>
      </c>
      <c r="K10" s="21" t="s">
        <v>521</v>
      </c>
      <c r="M10" s="16">
        <v>9</v>
      </c>
      <c r="N10" s="16" t="s">
        <v>316</v>
      </c>
      <c r="O10" s="16" t="s">
        <v>343</v>
      </c>
      <c r="P10" s="16" t="s">
        <v>339</v>
      </c>
      <c r="Q10" s="16" t="s">
        <v>367</v>
      </c>
      <c r="S10" s="16">
        <v>9</v>
      </c>
      <c r="T10" s="22" t="s">
        <v>34</v>
      </c>
      <c r="U10" s="22" t="s">
        <v>58</v>
      </c>
      <c r="V10" s="22" t="s">
        <v>192</v>
      </c>
      <c r="W10" s="16" t="s">
        <v>59</v>
      </c>
      <c r="Y10" s="16">
        <v>9</v>
      </c>
      <c r="Z10" s="31" t="s">
        <v>136</v>
      </c>
      <c r="AA10" s="26" t="s">
        <v>174</v>
      </c>
      <c r="AB10" s="16" t="s">
        <v>292</v>
      </c>
      <c r="AC10" s="22" t="s">
        <v>164</v>
      </c>
      <c r="AE10" s="16">
        <v>9</v>
      </c>
      <c r="AF10" s="22" t="s">
        <v>305</v>
      </c>
      <c r="AG10" s="23" t="s">
        <v>250</v>
      </c>
      <c r="AH10" s="16" t="s">
        <v>301</v>
      </c>
      <c r="AI10" s="16" t="s">
        <v>275</v>
      </c>
    </row>
    <row r="11" spans="1:35" s="27" customFormat="1" ht="22.5" customHeight="1">
      <c r="A11" s="16">
        <v>10</v>
      </c>
      <c r="B11" s="19" t="s">
        <v>557</v>
      </c>
      <c r="C11" s="19" t="s">
        <v>584</v>
      </c>
      <c r="D11" s="16" t="s">
        <v>609</v>
      </c>
      <c r="E11" s="19" t="s">
        <v>635</v>
      </c>
      <c r="G11" s="16">
        <v>10</v>
      </c>
      <c r="H11" s="16" t="s">
        <v>431</v>
      </c>
      <c r="I11" s="20" t="s">
        <v>465</v>
      </c>
      <c r="J11" s="18" t="s">
        <v>495</v>
      </c>
      <c r="K11" s="21" t="s">
        <v>522</v>
      </c>
      <c r="M11" s="16">
        <v>10</v>
      </c>
      <c r="N11" s="16" t="s">
        <v>317</v>
      </c>
      <c r="O11" s="16" t="s">
        <v>344</v>
      </c>
      <c r="P11" s="16" t="s">
        <v>345</v>
      </c>
      <c r="Q11" s="16" t="s">
        <v>340</v>
      </c>
      <c r="S11" s="16">
        <v>10</v>
      </c>
      <c r="T11" s="22" t="s">
        <v>671</v>
      </c>
      <c r="U11" s="22" t="s">
        <v>61</v>
      </c>
      <c r="V11" s="16" t="s">
        <v>112</v>
      </c>
      <c r="W11" s="16" t="s">
        <v>111</v>
      </c>
      <c r="Y11" s="16">
        <v>10</v>
      </c>
      <c r="Z11" s="31" t="s">
        <v>137</v>
      </c>
      <c r="AA11" s="26" t="s">
        <v>191</v>
      </c>
      <c r="AB11" s="16" t="s">
        <v>178</v>
      </c>
      <c r="AC11" s="22" t="s">
        <v>180</v>
      </c>
      <c r="AE11" s="16">
        <v>10</v>
      </c>
      <c r="AF11" s="22" t="s">
        <v>249</v>
      </c>
      <c r="AG11" s="23" t="s">
        <v>216</v>
      </c>
      <c r="AH11" s="16" t="s">
        <v>290</v>
      </c>
      <c r="AI11" s="16" t="s">
        <v>276</v>
      </c>
    </row>
    <row r="12" spans="1:35" s="27" customFormat="1" ht="22.5" customHeight="1">
      <c r="A12" s="16">
        <v>11</v>
      </c>
      <c r="B12" s="19" t="s">
        <v>558</v>
      </c>
      <c r="C12" s="19" t="s">
        <v>585</v>
      </c>
      <c r="D12" s="16" t="s">
        <v>610</v>
      </c>
      <c r="E12" s="19" t="s">
        <v>636</v>
      </c>
      <c r="G12" s="16">
        <v>11</v>
      </c>
      <c r="H12" s="16" t="s">
        <v>432</v>
      </c>
      <c r="I12" s="20" t="s">
        <v>466</v>
      </c>
      <c r="J12" s="18" t="s">
        <v>496</v>
      </c>
      <c r="K12" s="21" t="s">
        <v>523</v>
      </c>
      <c r="M12" s="16">
        <v>11</v>
      </c>
      <c r="N12" s="16" t="s">
        <v>304</v>
      </c>
      <c r="O12" s="16" t="s">
        <v>663</v>
      </c>
      <c r="P12" s="16" t="s">
        <v>369</v>
      </c>
      <c r="Q12" s="16" t="s">
        <v>341</v>
      </c>
      <c r="S12" s="16">
        <v>11</v>
      </c>
      <c r="T12" s="22" t="s">
        <v>35</v>
      </c>
      <c r="U12" s="22" t="s">
        <v>62</v>
      </c>
      <c r="V12" s="16" t="s">
        <v>63</v>
      </c>
      <c r="W12" s="16" t="s">
        <v>193</v>
      </c>
      <c r="Y12" s="16">
        <v>11</v>
      </c>
      <c r="Z12" s="31" t="s">
        <v>138</v>
      </c>
      <c r="AA12" s="26" t="s">
        <v>130</v>
      </c>
      <c r="AB12" s="16" t="s">
        <v>203</v>
      </c>
      <c r="AC12" s="22" t="s">
        <v>181</v>
      </c>
      <c r="AE12" s="16">
        <v>11</v>
      </c>
      <c r="AF12" s="22" t="s">
        <v>214</v>
      </c>
      <c r="AG12" s="23" t="s">
        <v>413</v>
      </c>
      <c r="AH12" s="22" t="s">
        <v>418</v>
      </c>
      <c r="AI12" s="22" t="s">
        <v>227</v>
      </c>
    </row>
    <row r="13" spans="1:35" s="27" customFormat="1" ht="22.5" customHeight="1">
      <c r="A13" s="16">
        <v>12</v>
      </c>
      <c r="B13" s="19" t="s">
        <v>559</v>
      </c>
      <c r="C13" s="19" t="s">
        <v>586</v>
      </c>
      <c r="D13" s="19" t="s">
        <v>611</v>
      </c>
      <c r="E13" s="25" t="s">
        <v>500</v>
      </c>
      <c r="G13" s="16">
        <v>12</v>
      </c>
      <c r="H13" s="16" t="s">
        <v>433</v>
      </c>
      <c r="I13" s="20" t="s">
        <v>467</v>
      </c>
      <c r="J13" s="18" t="s">
        <v>86</v>
      </c>
      <c r="K13" s="21" t="s">
        <v>524</v>
      </c>
      <c r="M13" s="16">
        <v>12</v>
      </c>
      <c r="N13" s="16" t="s">
        <v>318</v>
      </c>
      <c r="O13" s="16" t="s">
        <v>348</v>
      </c>
      <c r="P13" s="16" t="s">
        <v>346</v>
      </c>
      <c r="Q13" s="16" t="s">
        <v>342</v>
      </c>
      <c r="S13" s="16">
        <v>12</v>
      </c>
      <c r="T13" s="22" t="s">
        <v>36</v>
      </c>
      <c r="U13" s="16" t="s">
        <v>113</v>
      </c>
      <c r="V13" s="16" t="s">
        <v>90</v>
      </c>
      <c r="W13" s="16" t="s">
        <v>60</v>
      </c>
      <c r="Y13" s="16">
        <v>12</v>
      </c>
      <c r="Z13" s="18" t="s">
        <v>412</v>
      </c>
      <c r="AA13" s="26" t="s">
        <v>160</v>
      </c>
      <c r="AB13" s="16" t="s">
        <v>204</v>
      </c>
      <c r="AC13" s="22" t="s">
        <v>182</v>
      </c>
      <c r="AE13" s="16">
        <v>12</v>
      </c>
      <c r="AF13" s="22" t="s">
        <v>215</v>
      </c>
      <c r="AG13" s="23" t="s">
        <v>274</v>
      </c>
      <c r="AH13" s="16" t="s">
        <v>291</v>
      </c>
      <c r="AI13" s="22" t="s">
        <v>279</v>
      </c>
    </row>
    <row r="14" spans="1:35" s="27" customFormat="1" ht="22.5" customHeight="1">
      <c r="A14" s="16">
        <v>13</v>
      </c>
      <c r="B14" s="19" t="s">
        <v>560</v>
      </c>
      <c r="C14" s="19" t="s">
        <v>587</v>
      </c>
      <c r="D14" s="19" t="s">
        <v>612</v>
      </c>
      <c r="E14" s="16" t="s">
        <v>637</v>
      </c>
      <c r="G14" s="16">
        <v>13</v>
      </c>
      <c r="H14" s="16" t="s">
        <v>434</v>
      </c>
      <c r="I14" s="20" t="s">
        <v>468</v>
      </c>
      <c r="J14" s="18" t="s">
        <v>497</v>
      </c>
      <c r="K14" s="21" t="s">
        <v>525</v>
      </c>
      <c r="M14" s="16">
        <v>13</v>
      </c>
      <c r="N14" s="16" t="s">
        <v>319</v>
      </c>
      <c r="O14" s="16" t="s">
        <v>349</v>
      </c>
      <c r="P14" s="16" t="s">
        <v>371</v>
      </c>
      <c r="Q14" s="16" t="s">
        <v>88</v>
      </c>
      <c r="S14" s="16">
        <v>13</v>
      </c>
      <c r="T14" s="22" t="s">
        <v>37</v>
      </c>
      <c r="U14" s="22" t="s">
        <v>64</v>
      </c>
      <c r="V14" s="16" t="s">
        <v>66</v>
      </c>
      <c r="W14" s="16" t="s">
        <v>194</v>
      </c>
      <c r="Y14" s="16">
        <v>13</v>
      </c>
      <c r="Z14" s="18" t="s">
        <v>139</v>
      </c>
      <c r="AA14" s="26" t="s">
        <v>161</v>
      </c>
      <c r="AB14" s="16" t="s">
        <v>179</v>
      </c>
      <c r="AC14" s="22" t="s">
        <v>166</v>
      </c>
      <c r="AE14" s="16">
        <v>13</v>
      </c>
      <c r="AF14" s="22" t="s">
        <v>217</v>
      </c>
      <c r="AG14" s="23" t="s">
        <v>252</v>
      </c>
      <c r="AH14" s="16" t="s">
        <v>218</v>
      </c>
      <c r="AI14" s="22" t="s">
        <v>299</v>
      </c>
    </row>
    <row r="15" spans="1:35" s="27" customFormat="1" ht="22.5" customHeight="1">
      <c r="A15" s="16">
        <v>14</v>
      </c>
      <c r="B15" s="19" t="s">
        <v>561</v>
      </c>
      <c r="C15" s="19" t="s">
        <v>588</v>
      </c>
      <c r="D15" s="19" t="s">
        <v>613</v>
      </c>
      <c r="E15" s="29"/>
      <c r="G15" s="16">
        <v>14</v>
      </c>
      <c r="H15" s="16" t="s">
        <v>435</v>
      </c>
      <c r="I15" s="20" t="s">
        <v>469</v>
      </c>
      <c r="J15" s="18" t="s">
        <v>498</v>
      </c>
      <c r="K15" s="21" t="s">
        <v>526</v>
      </c>
      <c r="M15" s="16">
        <v>14</v>
      </c>
      <c r="N15" s="16" t="s">
        <v>320</v>
      </c>
      <c r="O15" s="16" t="s">
        <v>664</v>
      </c>
      <c r="P15" s="16" t="s">
        <v>198</v>
      </c>
      <c r="Q15" s="16" t="s">
        <v>668</v>
      </c>
      <c r="S15" s="16">
        <v>14</v>
      </c>
      <c r="T15" s="22" t="s">
        <v>38</v>
      </c>
      <c r="U15" s="22" t="s">
        <v>65</v>
      </c>
      <c r="V15" s="22" t="s">
        <v>199</v>
      </c>
      <c r="W15" s="16" t="s">
        <v>89</v>
      </c>
      <c r="Y15" s="16">
        <v>14</v>
      </c>
      <c r="Z15" s="18" t="s">
        <v>422</v>
      </c>
      <c r="AA15" s="26" t="s">
        <v>175</v>
      </c>
      <c r="AB15" s="16" t="s">
        <v>224</v>
      </c>
      <c r="AC15" s="16" t="s">
        <v>229</v>
      </c>
      <c r="AE15" s="16">
        <v>14</v>
      </c>
      <c r="AF15" s="22" t="s">
        <v>251</v>
      </c>
      <c r="AG15" s="23" t="s">
        <v>222</v>
      </c>
      <c r="AH15" s="16" t="s">
        <v>219</v>
      </c>
      <c r="AI15" s="22" t="s">
        <v>283</v>
      </c>
    </row>
    <row r="16" spans="1:35" s="27" customFormat="1" ht="22.5" customHeight="1">
      <c r="A16" s="16">
        <v>15</v>
      </c>
      <c r="B16" s="19" t="s">
        <v>562</v>
      </c>
      <c r="C16" s="19" t="s">
        <v>589</v>
      </c>
      <c r="D16" s="19" t="s">
        <v>614</v>
      </c>
      <c r="E16" s="16" t="s">
        <v>638</v>
      </c>
      <c r="G16" s="16">
        <v>15</v>
      </c>
      <c r="H16" s="16" t="s">
        <v>437</v>
      </c>
      <c r="I16" s="20" t="s">
        <v>470</v>
      </c>
      <c r="J16" s="18" t="s">
        <v>499</v>
      </c>
      <c r="K16" s="21" t="s">
        <v>527</v>
      </c>
      <c r="M16" s="16">
        <v>15</v>
      </c>
      <c r="N16" s="16" t="s">
        <v>321</v>
      </c>
      <c r="O16" s="16" t="s">
        <v>350</v>
      </c>
      <c r="P16" s="16" t="s">
        <v>347</v>
      </c>
      <c r="Q16" s="16" t="s">
        <v>370</v>
      </c>
      <c r="S16" s="16">
        <v>15</v>
      </c>
      <c r="T16" s="22" t="s">
        <v>39</v>
      </c>
      <c r="U16" s="22" t="s">
        <v>67</v>
      </c>
      <c r="V16" s="16" t="s">
        <v>118</v>
      </c>
      <c r="W16" s="16" t="s">
        <v>114</v>
      </c>
      <c r="Y16" s="16">
        <v>15</v>
      </c>
      <c r="Z16" s="18" t="s">
        <v>202</v>
      </c>
      <c r="AA16" s="26" t="s">
        <v>196</v>
      </c>
      <c r="AB16" s="16" t="s">
        <v>184</v>
      </c>
      <c r="AC16" s="16" t="s">
        <v>261</v>
      </c>
      <c r="AE16" s="16">
        <v>15</v>
      </c>
      <c r="AF16" s="22" t="s">
        <v>220</v>
      </c>
      <c r="AG16" s="23" t="s">
        <v>256</v>
      </c>
      <c r="AH16" s="16" t="s">
        <v>277</v>
      </c>
      <c r="AI16" s="30"/>
    </row>
    <row r="17" spans="1:35" s="27" customFormat="1" ht="22.5" customHeight="1">
      <c r="A17" s="16">
        <v>16</v>
      </c>
      <c r="B17" s="16" t="s">
        <v>563</v>
      </c>
      <c r="C17" s="16" t="s">
        <v>590</v>
      </c>
      <c r="D17" s="19" t="s">
        <v>615</v>
      </c>
      <c r="E17" s="16" t="s">
        <v>639</v>
      </c>
      <c r="G17" s="16">
        <v>16</v>
      </c>
      <c r="H17" s="16" t="s">
        <v>438</v>
      </c>
      <c r="I17" s="20" t="s">
        <v>471</v>
      </c>
      <c r="J17" s="18" t="s">
        <v>393</v>
      </c>
      <c r="K17" s="21" t="s">
        <v>528</v>
      </c>
      <c r="M17" s="16">
        <v>16</v>
      </c>
      <c r="N17" s="16" t="s">
        <v>322</v>
      </c>
      <c r="O17" s="16" t="s">
        <v>396</v>
      </c>
      <c r="P17" s="16" t="s">
        <v>93</v>
      </c>
      <c r="Q17" s="16" t="s">
        <v>394</v>
      </c>
      <c r="S17" s="16">
        <v>16</v>
      </c>
      <c r="T17" s="22" t="s">
        <v>40</v>
      </c>
      <c r="U17" s="22" t="s">
        <v>68</v>
      </c>
      <c r="V17" s="16" t="s">
        <v>72</v>
      </c>
      <c r="W17" s="16" t="s">
        <v>115</v>
      </c>
      <c r="Y17" s="16">
        <v>16</v>
      </c>
      <c r="Z17" s="18" t="s">
        <v>140</v>
      </c>
      <c r="AA17" s="26" t="s">
        <v>201</v>
      </c>
      <c r="AB17" s="29"/>
      <c r="AC17" s="16" t="s">
        <v>298</v>
      </c>
      <c r="AE17" s="16">
        <v>16</v>
      </c>
      <c r="AF17" s="22" t="s">
        <v>253</v>
      </c>
      <c r="AG17" s="23" t="s">
        <v>223</v>
      </c>
      <c r="AH17" s="16" t="s">
        <v>294</v>
      </c>
      <c r="AI17" s="30"/>
    </row>
    <row r="18" spans="1:35" s="27" customFormat="1" ht="22.5" customHeight="1">
      <c r="A18" s="16">
        <v>17</v>
      </c>
      <c r="B18" s="16" t="s">
        <v>564</v>
      </c>
      <c r="C18" s="16" t="s">
        <v>591</v>
      </c>
      <c r="D18" s="16" t="s">
        <v>616</v>
      </c>
      <c r="E18" s="16" t="s">
        <v>640</v>
      </c>
      <c r="G18" s="16">
        <v>17</v>
      </c>
      <c r="H18" s="16" t="s">
        <v>439</v>
      </c>
      <c r="I18" s="20" t="s">
        <v>472</v>
      </c>
      <c r="J18" s="18" t="s">
        <v>436</v>
      </c>
      <c r="K18" s="21" t="s">
        <v>398</v>
      </c>
      <c r="M18" s="16">
        <v>17</v>
      </c>
      <c r="N18" s="16" t="s">
        <v>323</v>
      </c>
      <c r="O18" s="16" t="s">
        <v>397</v>
      </c>
      <c r="P18" s="29"/>
      <c r="Q18" s="16" t="s">
        <v>395</v>
      </c>
      <c r="S18" s="16">
        <v>17</v>
      </c>
      <c r="T18" s="22" t="s">
        <v>421</v>
      </c>
      <c r="U18" s="22" t="s">
        <v>69</v>
      </c>
      <c r="V18" s="16" t="s">
        <v>120</v>
      </c>
      <c r="W18" s="16" t="s">
        <v>116</v>
      </c>
      <c r="Y18" s="16">
        <v>17</v>
      </c>
      <c r="Z18" s="18" t="s">
        <v>141</v>
      </c>
      <c r="AA18" s="26" t="s">
        <v>163</v>
      </c>
      <c r="AB18" s="22" t="s">
        <v>205</v>
      </c>
      <c r="AC18" s="22" t="s">
        <v>300</v>
      </c>
      <c r="AE18" s="16">
        <v>17</v>
      </c>
      <c r="AF18" s="22" t="s">
        <v>221</v>
      </c>
      <c r="AG18" s="23" t="s">
        <v>293</v>
      </c>
      <c r="AH18" s="16" t="s">
        <v>278</v>
      </c>
      <c r="AI18" s="30"/>
    </row>
    <row r="19" spans="1:35" s="27" customFormat="1" ht="22.5" customHeight="1">
      <c r="A19" s="16">
        <v>18</v>
      </c>
      <c r="B19" s="16" t="s">
        <v>565</v>
      </c>
      <c r="C19" s="16" t="s">
        <v>592</v>
      </c>
      <c r="D19" s="16" t="s">
        <v>617</v>
      </c>
      <c r="E19" s="16" t="s">
        <v>641</v>
      </c>
      <c r="G19" s="16">
        <v>18</v>
      </c>
      <c r="H19" s="16" t="s">
        <v>440</v>
      </c>
      <c r="I19" s="20" t="s">
        <v>473</v>
      </c>
      <c r="J19" s="18" t="s">
        <v>501</v>
      </c>
      <c r="K19" s="21" t="s">
        <v>529</v>
      </c>
      <c r="M19" s="16">
        <v>18</v>
      </c>
      <c r="N19" s="16" t="s">
        <v>324</v>
      </c>
      <c r="O19" s="16" t="s">
        <v>399</v>
      </c>
      <c r="P19" s="16" t="s">
        <v>400</v>
      </c>
      <c r="Q19" s="16" t="s">
        <v>91</v>
      </c>
      <c r="S19" s="16">
        <v>18</v>
      </c>
      <c r="T19" s="22" t="s">
        <v>41</v>
      </c>
      <c r="U19" s="22" t="s">
        <v>70</v>
      </c>
      <c r="V19" s="16" t="s">
        <v>96</v>
      </c>
      <c r="W19" s="22" t="s">
        <v>94</v>
      </c>
      <c r="Y19" s="16">
        <v>18</v>
      </c>
      <c r="Z19" s="18" t="s">
        <v>417</v>
      </c>
      <c r="AA19" s="26" t="s">
        <v>410</v>
      </c>
      <c r="AB19" s="30"/>
      <c r="AC19" s="30"/>
      <c r="AE19" s="16">
        <v>18</v>
      </c>
      <c r="AF19" s="22" t="s">
        <v>255</v>
      </c>
      <c r="AG19" s="23" t="s">
        <v>259</v>
      </c>
      <c r="AH19" s="22" t="s">
        <v>295</v>
      </c>
      <c r="AI19" s="30"/>
    </row>
    <row r="20" spans="1:35" s="27" customFormat="1" ht="22.5" customHeight="1">
      <c r="A20" s="16">
        <v>19</v>
      </c>
      <c r="B20" s="16" t="s">
        <v>566</v>
      </c>
      <c r="C20" s="16" t="s">
        <v>593</v>
      </c>
      <c r="D20" s="25" t="s">
        <v>530</v>
      </c>
      <c r="E20" s="29"/>
      <c r="G20" s="16">
        <v>19</v>
      </c>
      <c r="H20" s="16" t="s">
        <v>441</v>
      </c>
      <c r="I20" s="20" t="s">
        <v>474</v>
      </c>
      <c r="J20" s="18" t="s">
        <v>502</v>
      </c>
      <c r="K20" s="21" t="s">
        <v>531</v>
      </c>
      <c r="M20" s="16">
        <v>19</v>
      </c>
      <c r="N20" s="16" t="s">
        <v>325</v>
      </c>
      <c r="O20" s="16" t="s">
        <v>402</v>
      </c>
      <c r="P20" s="16" t="s">
        <v>375</v>
      </c>
      <c r="Q20" s="16" t="s">
        <v>373</v>
      </c>
      <c r="S20" s="16">
        <v>19</v>
      </c>
      <c r="T20" s="22" t="s">
        <v>42</v>
      </c>
      <c r="U20" s="22" t="s">
        <v>117</v>
      </c>
      <c r="V20" s="22" t="s">
        <v>46</v>
      </c>
      <c r="W20" s="16" t="s">
        <v>119</v>
      </c>
      <c r="Y20" s="16">
        <v>19</v>
      </c>
      <c r="Z20" s="31" t="s">
        <v>142</v>
      </c>
      <c r="AA20" s="26" t="s">
        <v>165</v>
      </c>
      <c r="AB20" s="30"/>
      <c r="AC20" s="30"/>
      <c r="AE20" s="16">
        <v>19</v>
      </c>
      <c r="AF20" s="22" t="s">
        <v>257</v>
      </c>
      <c r="AG20" s="23" t="s">
        <v>230</v>
      </c>
      <c r="AH20" s="22" t="s">
        <v>296</v>
      </c>
      <c r="AI20" s="30"/>
    </row>
    <row r="21" spans="1:35" s="27" customFormat="1" ht="22.5" customHeight="1">
      <c r="A21" s="16">
        <v>20</v>
      </c>
      <c r="B21" s="16" t="s">
        <v>567</v>
      </c>
      <c r="C21" s="16" t="s">
        <v>594</v>
      </c>
      <c r="D21" s="16" t="s">
        <v>618</v>
      </c>
      <c r="E21" s="16" t="s">
        <v>642</v>
      </c>
      <c r="G21" s="16">
        <v>20</v>
      </c>
      <c r="H21" s="16" t="s">
        <v>442</v>
      </c>
      <c r="I21" s="20" t="s">
        <v>475</v>
      </c>
      <c r="J21" s="18" t="s">
        <v>503</v>
      </c>
      <c r="K21" s="16" t="s">
        <v>444</v>
      </c>
      <c r="M21" s="16">
        <v>20</v>
      </c>
      <c r="N21" s="16" t="s">
        <v>326</v>
      </c>
      <c r="O21" s="16" t="s">
        <v>377</v>
      </c>
      <c r="P21" s="16" t="s">
        <v>376</v>
      </c>
      <c r="Q21" s="16" t="s">
        <v>92</v>
      </c>
      <c r="S21" s="16">
        <v>20</v>
      </c>
      <c r="T21" s="22" t="s">
        <v>43</v>
      </c>
      <c r="U21" s="22" t="s">
        <v>71</v>
      </c>
      <c r="V21" s="16" t="s">
        <v>122</v>
      </c>
      <c r="W21" s="22" t="s">
        <v>74</v>
      </c>
      <c r="Y21" s="16">
        <v>20</v>
      </c>
      <c r="Z21" s="31" t="s">
        <v>143</v>
      </c>
      <c r="AA21" s="26" t="s">
        <v>183</v>
      </c>
      <c r="AB21" s="30"/>
      <c r="AC21" s="30"/>
      <c r="AE21" s="16">
        <v>20</v>
      </c>
      <c r="AF21" s="22" t="s">
        <v>225</v>
      </c>
      <c r="AG21" s="23" t="s">
        <v>281</v>
      </c>
      <c r="AH21" s="22" t="s">
        <v>280</v>
      </c>
      <c r="AI21" s="30"/>
    </row>
    <row r="22" spans="1:35" s="27" customFormat="1" ht="22.5" customHeight="1">
      <c r="A22" s="16">
        <v>21</v>
      </c>
      <c r="B22" s="16" t="s">
        <v>568</v>
      </c>
      <c r="C22" s="19" t="s">
        <v>595</v>
      </c>
      <c r="D22" s="16" t="s">
        <v>619</v>
      </c>
      <c r="E22" s="16" t="s">
        <v>643</v>
      </c>
      <c r="G22" s="16">
        <v>21</v>
      </c>
      <c r="H22" s="16" t="s">
        <v>443</v>
      </c>
      <c r="I22" s="20" t="s">
        <v>476</v>
      </c>
      <c r="J22" s="18" t="s">
        <v>504</v>
      </c>
      <c r="K22" s="21" t="s">
        <v>532</v>
      </c>
      <c r="M22" s="16">
        <v>21</v>
      </c>
      <c r="N22" s="16" t="s">
        <v>547</v>
      </c>
      <c r="O22" s="16" t="s">
        <v>352</v>
      </c>
      <c r="P22" s="16" t="s">
        <v>401</v>
      </c>
      <c r="Q22" s="16" t="s">
        <v>374</v>
      </c>
      <c r="S22" s="16">
        <v>21</v>
      </c>
      <c r="T22" s="22" t="s">
        <v>44</v>
      </c>
      <c r="U22" s="22" t="s">
        <v>124</v>
      </c>
      <c r="V22" s="16" t="s">
        <v>123</v>
      </c>
      <c r="W22" s="22" t="s">
        <v>47</v>
      </c>
      <c r="Y22" s="16">
        <v>21</v>
      </c>
      <c r="Z22" s="31" t="s">
        <v>144</v>
      </c>
      <c r="AA22" s="26" t="s">
        <v>146</v>
      </c>
      <c r="AB22" s="30"/>
      <c r="AC22" s="30"/>
      <c r="AE22" s="16">
        <v>21</v>
      </c>
      <c r="AF22" s="22" t="s">
        <v>258</v>
      </c>
      <c r="AG22" s="23" t="s">
        <v>282</v>
      </c>
      <c r="AH22" s="22" t="s">
        <v>232</v>
      </c>
      <c r="AI22" s="30"/>
    </row>
    <row r="23" spans="1:35" s="27" customFormat="1" ht="22.5" customHeight="1">
      <c r="A23" s="16">
        <v>22</v>
      </c>
      <c r="B23" s="19" t="s">
        <v>569</v>
      </c>
      <c r="C23" s="19" t="s">
        <v>596</v>
      </c>
      <c r="D23" s="16" t="s">
        <v>620</v>
      </c>
      <c r="E23" s="19" t="s">
        <v>644</v>
      </c>
      <c r="G23" s="16">
        <v>22</v>
      </c>
      <c r="H23" s="16" t="s">
        <v>445</v>
      </c>
      <c r="I23" s="20" t="s">
        <v>477</v>
      </c>
      <c r="J23" s="18" t="s">
        <v>505</v>
      </c>
      <c r="K23" s="16" t="s">
        <v>403</v>
      </c>
      <c r="M23" s="16">
        <v>22</v>
      </c>
      <c r="N23" s="16" t="s">
        <v>327</v>
      </c>
      <c r="O23" s="29"/>
      <c r="P23" s="16" t="s">
        <v>378</v>
      </c>
      <c r="Q23" s="16" t="s">
        <v>351</v>
      </c>
      <c r="S23" s="16">
        <v>22</v>
      </c>
      <c r="T23" s="22" t="s">
        <v>45</v>
      </c>
      <c r="U23" s="22" t="s">
        <v>75</v>
      </c>
      <c r="V23" s="22" t="s">
        <v>98</v>
      </c>
      <c r="W23" s="16" t="s">
        <v>125</v>
      </c>
      <c r="Y23" s="16">
        <v>22</v>
      </c>
      <c r="Z23" s="31" t="s">
        <v>145</v>
      </c>
      <c r="AA23" s="26" t="s">
        <v>167</v>
      </c>
      <c r="AB23" s="30"/>
      <c r="AC23" s="30"/>
      <c r="AE23" s="16">
        <v>22</v>
      </c>
      <c r="AF23" s="22" t="s">
        <v>226</v>
      </c>
      <c r="AG23" s="23" t="s">
        <v>233</v>
      </c>
      <c r="AH23" s="22" t="s">
        <v>297</v>
      </c>
      <c r="AI23" s="30"/>
    </row>
    <row r="24" spans="1:35" s="27" customFormat="1" ht="22.5" customHeight="1">
      <c r="A24" s="16">
        <v>23</v>
      </c>
      <c r="B24" s="19" t="s">
        <v>570</v>
      </c>
      <c r="C24" s="19" t="s">
        <v>597</v>
      </c>
      <c r="D24" s="19" t="s">
        <v>621</v>
      </c>
      <c r="E24" s="29"/>
      <c r="G24" s="16">
        <v>23</v>
      </c>
      <c r="H24" s="16" t="s">
        <v>446</v>
      </c>
      <c r="I24" s="20" t="s">
        <v>478</v>
      </c>
      <c r="J24" s="18" t="s">
        <v>506</v>
      </c>
      <c r="K24" s="21" t="s">
        <v>533</v>
      </c>
      <c r="M24" s="16">
        <v>23</v>
      </c>
      <c r="N24" s="16" t="s">
        <v>328</v>
      </c>
      <c r="O24" s="16" t="s">
        <v>354</v>
      </c>
      <c r="P24" s="16" t="s">
        <v>379</v>
      </c>
      <c r="Q24" s="16" t="s">
        <v>95</v>
      </c>
      <c r="S24" s="16">
        <v>23</v>
      </c>
      <c r="T24" s="22" t="s">
        <v>49</v>
      </c>
      <c r="U24" s="29"/>
      <c r="V24" s="16" t="s">
        <v>126</v>
      </c>
      <c r="W24" s="16" t="s">
        <v>78</v>
      </c>
      <c r="Y24" s="16">
        <v>23</v>
      </c>
      <c r="Z24" s="31" t="s">
        <v>147</v>
      </c>
      <c r="AA24" s="26" t="s">
        <v>186</v>
      </c>
      <c r="AB24" s="30"/>
      <c r="AC24" s="30"/>
      <c r="AE24" s="16">
        <v>23</v>
      </c>
      <c r="AF24" s="22" t="s">
        <v>228</v>
      </c>
      <c r="AG24" s="23" t="s">
        <v>262</v>
      </c>
      <c r="AH24" s="30"/>
      <c r="AI24" s="30"/>
    </row>
    <row r="25" spans="1:35" s="27" customFormat="1" ht="22.5" customHeight="1">
      <c r="A25" s="16">
        <v>24</v>
      </c>
      <c r="B25" s="19" t="s">
        <v>571</v>
      </c>
      <c r="C25" s="19" t="s">
        <v>598</v>
      </c>
      <c r="D25" s="19" t="s">
        <v>622</v>
      </c>
      <c r="E25" s="19" t="s">
        <v>645</v>
      </c>
      <c r="G25" s="16">
        <v>24</v>
      </c>
      <c r="H25" s="16" t="s">
        <v>651</v>
      </c>
      <c r="I25" s="20" t="s">
        <v>479</v>
      </c>
      <c r="J25" s="18" t="s">
        <v>380</v>
      </c>
      <c r="K25" s="21" t="s">
        <v>534</v>
      </c>
      <c r="M25" s="16">
        <v>24</v>
      </c>
      <c r="N25" s="16" t="s">
        <v>545</v>
      </c>
      <c r="O25" s="16" t="s">
        <v>543</v>
      </c>
      <c r="P25" s="16" t="s">
        <v>353</v>
      </c>
      <c r="Q25" s="16" t="s">
        <v>669</v>
      </c>
      <c r="S25" s="16">
        <v>24</v>
      </c>
      <c r="T25" s="22" t="s">
        <v>50</v>
      </c>
      <c r="U25" s="22" t="s">
        <v>76</v>
      </c>
      <c r="V25" s="30"/>
      <c r="W25" s="30"/>
      <c r="Y25" s="16">
        <v>24</v>
      </c>
      <c r="Z25" s="31" t="s">
        <v>148</v>
      </c>
      <c r="AA25" s="26" t="s">
        <v>187</v>
      </c>
      <c r="AB25" s="30"/>
      <c r="AC25" s="30"/>
      <c r="AE25" s="16">
        <v>24</v>
      </c>
      <c r="AF25" s="22" t="s">
        <v>306</v>
      </c>
      <c r="AG25" s="23" t="s">
        <v>284</v>
      </c>
      <c r="AH25" s="30"/>
      <c r="AI25" s="30"/>
    </row>
    <row r="26" spans="1:35" s="27" customFormat="1" ht="22.5" customHeight="1">
      <c r="A26" s="16">
        <v>25</v>
      </c>
      <c r="B26" s="19" t="s">
        <v>572</v>
      </c>
      <c r="C26" s="19" t="s">
        <v>599</v>
      </c>
      <c r="D26" s="19" t="s">
        <v>623</v>
      </c>
      <c r="E26" s="19" t="s">
        <v>646</v>
      </c>
      <c r="G26" s="16">
        <v>25</v>
      </c>
      <c r="H26" s="16" t="s">
        <v>447</v>
      </c>
      <c r="I26" s="20" t="s">
        <v>480</v>
      </c>
      <c r="J26" s="18" t="s">
        <v>507</v>
      </c>
      <c r="K26" s="21" t="s">
        <v>535</v>
      </c>
      <c r="M26" s="16">
        <v>25</v>
      </c>
      <c r="N26" s="29"/>
      <c r="O26" s="16" t="s">
        <v>357</v>
      </c>
      <c r="P26" s="16" t="s">
        <v>356</v>
      </c>
      <c r="Q26" s="16" t="s">
        <v>73</v>
      </c>
      <c r="S26" s="16">
        <v>25</v>
      </c>
      <c r="T26" s="22" t="s">
        <v>51</v>
      </c>
      <c r="U26" s="22" t="s">
        <v>77</v>
      </c>
      <c r="V26" s="30"/>
      <c r="W26" s="30"/>
      <c r="Y26" s="16">
        <v>25</v>
      </c>
      <c r="Z26" s="31" t="s">
        <v>149</v>
      </c>
      <c r="AA26" s="26" t="s">
        <v>206</v>
      </c>
      <c r="AB26" s="30"/>
      <c r="AC26" s="30"/>
      <c r="AE26" s="16">
        <v>25</v>
      </c>
      <c r="AF26" s="22" t="s">
        <v>231</v>
      </c>
      <c r="AG26" s="23" t="s">
        <v>264</v>
      </c>
      <c r="AH26" s="30"/>
      <c r="AI26" s="30"/>
    </row>
    <row r="27" spans="1:35" s="27" customFormat="1" ht="22.5" customHeight="1">
      <c r="A27" s="16">
        <v>26</v>
      </c>
      <c r="B27" s="19" t="s">
        <v>573</v>
      </c>
      <c r="C27" s="19" t="s">
        <v>600</v>
      </c>
      <c r="D27" s="29"/>
      <c r="E27" s="19" t="s">
        <v>647</v>
      </c>
      <c r="G27" s="16">
        <v>26</v>
      </c>
      <c r="H27" s="16" t="s">
        <v>448</v>
      </c>
      <c r="I27" s="20" t="s">
        <v>481</v>
      </c>
      <c r="J27" s="18" t="s">
        <v>329</v>
      </c>
      <c r="K27" s="21" t="s">
        <v>536</v>
      </c>
      <c r="M27" s="16">
        <v>26</v>
      </c>
      <c r="N27" s="16" t="s">
        <v>658</v>
      </c>
      <c r="O27" s="16" t="s">
        <v>358</v>
      </c>
      <c r="P27" s="16" t="s">
        <v>382</v>
      </c>
      <c r="Q27" s="16" t="s">
        <v>381</v>
      </c>
      <c r="S27" s="16">
        <v>26</v>
      </c>
      <c r="T27" s="22" t="s">
        <v>682</v>
      </c>
      <c r="U27" s="22" t="s">
        <v>99</v>
      </c>
      <c r="V27" s="30"/>
      <c r="W27" s="30"/>
      <c r="Y27" s="16">
        <v>26</v>
      </c>
      <c r="Z27" s="31" t="s">
        <v>150</v>
      </c>
      <c r="AA27" s="26" t="s">
        <v>207</v>
      </c>
      <c r="AB27" s="30"/>
      <c r="AC27" s="30"/>
      <c r="AE27" s="16">
        <v>26</v>
      </c>
      <c r="AF27" s="22" t="s">
        <v>260</v>
      </c>
      <c r="AG27" s="23" t="s">
        <v>265</v>
      </c>
      <c r="AH27" s="30"/>
      <c r="AI27" s="30"/>
    </row>
    <row r="28" spans="1:35" s="27" customFormat="1" ht="22.5" customHeight="1">
      <c r="A28" s="16">
        <v>27</v>
      </c>
      <c r="B28" s="19" t="s">
        <v>574</v>
      </c>
      <c r="C28" s="19" t="s">
        <v>601</v>
      </c>
      <c r="D28" s="19" t="s">
        <v>624</v>
      </c>
      <c r="E28" s="19" t="s">
        <v>648</v>
      </c>
      <c r="G28" s="16">
        <v>27</v>
      </c>
      <c r="H28" s="16" t="s">
        <v>449</v>
      </c>
      <c r="I28" s="20" t="s">
        <v>482</v>
      </c>
      <c r="J28" s="18" t="s">
        <v>508</v>
      </c>
      <c r="K28" s="29"/>
      <c r="M28" s="16">
        <v>27</v>
      </c>
      <c r="N28" s="16" t="s">
        <v>659</v>
      </c>
      <c r="O28" s="16" t="s">
        <v>359</v>
      </c>
      <c r="P28" s="21" t="s">
        <v>405</v>
      </c>
      <c r="Q28" s="16" t="s">
        <v>355</v>
      </c>
      <c r="S28" s="16">
        <v>27</v>
      </c>
      <c r="T28" s="30"/>
      <c r="U28" s="22" t="s">
        <v>48</v>
      </c>
      <c r="V28" s="30"/>
      <c r="W28" s="30"/>
      <c r="Y28" s="16">
        <v>27</v>
      </c>
      <c r="Z28" s="31" t="s">
        <v>168</v>
      </c>
      <c r="AA28" s="30"/>
      <c r="AB28" s="30"/>
      <c r="AC28" s="30"/>
      <c r="AE28" s="16">
        <v>27</v>
      </c>
      <c r="AF28" s="22" t="s">
        <v>234</v>
      </c>
      <c r="AG28" s="30"/>
      <c r="AH28" s="30"/>
      <c r="AI28" s="30"/>
    </row>
    <row r="29" spans="1:35" s="27" customFormat="1" ht="22.5" customHeight="1">
      <c r="A29" s="16">
        <v>28</v>
      </c>
      <c r="B29" s="30"/>
      <c r="C29" s="19" t="s">
        <v>672</v>
      </c>
      <c r="D29" s="19" t="s">
        <v>625</v>
      </c>
      <c r="E29" s="25" t="s">
        <v>537</v>
      </c>
      <c r="G29" s="16">
        <v>28</v>
      </c>
      <c r="H29" s="16" t="s">
        <v>450</v>
      </c>
      <c r="I29" s="20" t="s">
        <v>483</v>
      </c>
      <c r="J29" s="18" t="s">
        <v>509</v>
      </c>
      <c r="K29" s="21" t="s">
        <v>538</v>
      </c>
      <c r="M29" s="16">
        <v>28</v>
      </c>
      <c r="N29" s="16" t="s">
        <v>330</v>
      </c>
      <c r="O29" s="16" t="s">
        <v>407</v>
      </c>
      <c r="P29" s="21" t="s">
        <v>406</v>
      </c>
      <c r="Q29" s="16" t="s">
        <v>404</v>
      </c>
      <c r="S29" s="16">
        <v>28</v>
      </c>
      <c r="T29" s="30"/>
      <c r="U29" s="22" t="s">
        <v>100</v>
      </c>
      <c r="V29" s="30"/>
      <c r="W29" s="30"/>
      <c r="Y29" s="16">
        <v>28</v>
      </c>
      <c r="Z29" s="31" t="s">
        <v>411</v>
      </c>
      <c r="AA29" s="30"/>
      <c r="AB29" s="30"/>
      <c r="AC29" s="30"/>
      <c r="AE29" s="16">
        <v>28</v>
      </c>
      <c r="AF29" s="22" t="s">
        <v>263</v>
      </c>
      <c r="AG29" s="30"/>
      <c r="AH29" s="30"/>
      <c r="AI29" s="30"/>
    </row>
    <row r="30" spans="1:35" s="27" customFormat="1" ht="22.5" customHeight="1">
      <c r="A30" s="16">
        <v>29</v>
      </c>
      <c r="B30" s="30"/>
      <c r="C30" s="30"/>
      <c r="D30" s="25" t="s">
        <v>372</v>
      </c>
      <c r="E30" s="19" t="s">
        <v>649</v>
      </c>
      <c r="G30" s="16">
        <v>29</v>
      </c>
      <c r="H30" s="16" t="s">
        <v>451</v>
      </c>
      <c r="I30" s="17" t="s">
        <v>653</v>
      </c>
      <c r="J30" s="18" t="s">
        <v>510</v>
      </c>
      <c r="K30" s="21" t="s">
        <v>539</v>
      </c>
      <c r="M30" s="16">
        <v>29</v>
      </c>
      <c r="N30" s="16" t="s">
        <v>331</v>
      </c>
      <c r="O30" s="16" t="s">
        <v>361</v>
      </c>
      <c r="P30" s="16" t="s">
        <v>383</v>
      </c>
      <c r="Q30" s="16" t="s">
        <v>385</v>
      </c>
      <c r="S30" s="16">
        <v>29</v>
      </c>
      <c r="T30" s="30"/>
      <c r="U30" s="22" t="s">
        <v>101</v>
      </c>
      <c r="V30" s="30"/>
      <c r="W30" s="30"/>
      <c r="Y30" s="16">
        <v>29</v>
      </c>
      <c r="Z30" s="30"/>
      <c r="AA30" s="30"/>
      <c r="AB30" s="30"/>
      <c r="AC30" s="30"/>
      <c r="AE30" s="16">
        <v>29</v>
      </c>
      <c r="AF30" s="30"/>
      <c r="AG30" s="30"/>
      <c r="AH30" s="30"/>
      <c r="AI30" s="30"/>
    </row>
    <row r="31" spans="1:35" s="27" customFormat="1" ht="22.5" customHeight="1">
      <c r="A31" s="16">
        <v>30</v>
      </c>
      <c r="B31" s="30"/>
      <c r="C31" s="30"/>
      <c r="D31" s="30"/>
      <c r="E31" s="30"/>
      <c r="G31" s="16">
        <v>30</v>
      </c>
      <c r="H31" s="16" t="s">
        <v>452</v>
      </c>
      <c r="I31" s="20" t="s">
        <v>484</v>
      </c>
      <c r="J31" s="17" t="s">
        <v>655</v>
      </c>
      <c r="K31" s="21" t="s">
        <v>540</v>
      </c>
      <c r="M31" s="16">
        <v>30</v>
      </c>
      <c r="N31" s="16" t="s">
        <v>423</v>
      </c>
      <c r="O31" s="16" t="s">
        <v>362</v>
      </c>
      <c r="P31" s="16" t="s">
        <v>384</v>
      </c>
      <c r="Q31" s="16" t="s">
        <v>408</v>
      </c>
      <c r="S31" s="16">
        <v>30</v>
      </c>
      <c r="T31" s="30"/>
      <c r="U31" s="33" t="s">
        <v>683</v>
      </c>
      <c r="V31" s="30"/>
      <c r="W31" s="30"/>
      <c r="Y31" s="16">
        <v>30</v>
      </c>
      <c r="Z31" s="30"/>
      <c r="AA31" s="30"/>
      <c r="AB31" s="30"/>
      <c r="AC31" s="30"/>
      <c r="AE31" s="16">
        <v>30</v>
      </c>
      <c r="AF31" s="30"/>
      <c r="AG31" s="30"/>
      <c r="AH31" s="30"/>
      <c r="AI31" s="30"/>
    </row>
    <row r="32" spans="1:35" s="27" customFormat="1" ht="22.5" customHeight="1">
      <c r="A32" s="16">
        <v>31</v>
      </c>
      <c r="B32" s="30"/>
      <c r="C32" s="30"/>
      <c r="D32" s="30"/>
      <c r="E32" s="30"/>
      <c r="G32" s="16">
        <v>31</v>
      </c>
      <c r="H32" s="16" t="s">
        <v>453</v>
      </c>
      <c r="I32" s="20" t="s">
        <v>485</v>
      </c>
      <c r="J32" s="18" t="s">
        <v>511</v>
      </c>
      <c r="K32" s="21" t="s">
        <v>541</v>
      </c>
      <c r="M32" s="16">
        <v>31</v>
      </c>
      <c r="N32" s="16" t="s">
        <v>660</v>
      </c>
      <c r="O32" s="16" t="s">
        <v>666</v>
      </c>
      <c r="P32" s="16" t="s">
        <v>360</v>
      </c>
      <c r="Q32" s="16" t="s">
        <v>409</v>
      </c>
      <c r="S32" s="16">
        <v>31</v>
      </c>
      <c r="T32" s="30"/>
      <c r="U32" s="30"/>
      <c r="V32" s="30"/>
      <c r="W32" s="30"/>
      <c r="Y32" s="16">
        <v>31</v>
      </c>
      <c r="Z32" s="30"/>
      <c r="AA32" s="30"/>
      <c r="AB32" s="30"/>
      <c r="AC32" s="30"/>
      <c r="AE32" s="16">
        <v>31</v>
      </c>
      <c r="AF32" s="30"/>
      <c r="AG32" s="30"/>
      <c r="AH32" s="30"/>
      <c r="AI32" s="30"/>
    </row>
    <row r="33" spans="1:36" s="27" customFormat="1" ht="22.5" customHeight="1">
      <c r="A33" s="16">
        <v>32</v>
      </c>
      <c r="B33" s="30"/>
      <c r="C33" s="30"/>
      <c r="D33" s="30"/>
      <c r="E33" s="30"/>
      <c r="G33" s="16">
        <v>32</v>
      </c>
      <c r="H33" s="16" t="s">
        <v>652</v>
      </c>
      <c r="I33" s="17" t="s">
        <v>654</v>
      </c>
      <c r="J33" s="18" t="s">
        <v>512</v>
      </c>
      <c r="K33" s="21" t="s">
        <v>542</v>
      </c>
      <c r="M33" s="16">
        <v>32</v>
      </c>
      <c r="N33" s="16" t="s">
        <v>332</v>
      </c>
      <c r="O33" s="16" t="s">
        <v>667</v>
      </c>
      <c r="P33" s="16" t="s">
        <v>681</v>
      </c>
      <c r="Q33" s="16" t="s">
        <v>699</v>
      </c>
      <c r="S33" s="16">
        <v>32</v>
      </c>
      <c r="T33" s="30"/>
      <c r="U33" s="30"/>
      <c r="V33" s="30"/>
      <c r="W33" s="30"/>
      <c r="Y33" s="16">
        <v>32</v>
      </c>
      <c r="Z33" s="30"/>
      <c r="AA33" s="30"/>
      <c r="AB33" s="30"/>
      <c r="AC33" s="30"/>
      <c r="AE33" s="16">
        <v>32</v>
      </c>
      <c r="AF33" s="30"/>
      <c r="AG33" s="30"/>
      <c r="AH33" s="30"/>
      <c r="AI33" s="30"/>
    </row>
    <row r="34" spans="1:36" s="27" customFormat="1" ht="22.5" customHeight="1">
      <c r="A34" s="16">
        <v>33</v>
      </c>
      <c r="B34" s="30"/>
      <c r="C34" s="30"/>
      <c r="D34" s="30"/>
      <c r="E34" s="30"/>
      <c r="G34" s="16">
        <v>33</v>
      </c>
      <c r="H34" s="16" t="s">
        <v>454</v>
      </c>
      <c r="I34" s="17" t="s">
        <v>679</v>
      </c>
      <c r="J34" s="18" t="s">
        <v>513</v>
      </c>
      <c r="K34" s="21" t="s">
        <v>386</v>
      </c>
      <c r="M34" s="16">
        <v>33</v>
      </c>
      <c r="N34" s="32" t="s">
        <v>680</v>
      </c>
      <c r="O34" s="16" t="s">
        <v>673</v>
      </c>
      <c r="P34" s="16" t="s">
        <v>700</v>
      </c>
      <c r="Q34" s="30"/>
      <c r="S34" s="16">
        <v>33</v>
      </c>
      <c r="T34" s="30"/>
      <c r="U34" s="30"/>
      <c r="V34" s="30"/>
      <c r="W34" s="30"/>
      <c r="Y34" s="16">
        <v>33</v>
      </c>
      <c r="Z34" s="30"/>
      <c r="AA34" s="30"/>
      <c r="AB34" s="30"/>
      <c r="AC34" s="30"/>
      <c r="AE34" s="16">
        <v>33</v>
      </c>
      <c r="AF34" s="30"/>
      <c r="AG34" s="30"/>
      <c r="AH34" s="30"/>
      <c r="AI34" s="30"/>
    </row>
    <row r="35" spans="1:36" s="27" customFormat="1" ht="22.5" customHeight="1">
      <c r="A35" s="16">
        <v>34</v>
      </c>
      <c r="B35" s="30"/>
      <c r="C35" s="30"/>
      <c r="D35" s="30"/>
      <c r="E35" s="30"/>
      <c r="G35" s="16">
        <v>34</v>
      </c>
      <c r="H35" s="30"/>
      <c r="I35" s="30"/>
      <c r="J35" s="30"/>
      <c r="K35" s="30"/>
      <c r="M35" s="16">
        <v>34</v>
      </c>
      <c r="N35" s="30"/>
      <c r="O35" s="16" t="s">
        <v>696</v>
      </c>
      <c r="P35" s="30"/>
      <c r="Q35" s="30"/>
      <c r="S35" s="16">
        <v>34</v>
      </c>
      <c r="T35" s="30"/>
      <c r="U35" s="30"/>
      <c r="V35" s="30"/>
      <c r="W35" s="30"/>
      <c r="Y35" s="16">
        <v>34</v>
      </c>
      <c r="Z35" s="30"/>
      <c r="AA35" s="30"/>
      <c r="AB35" s="30"/>
      <c r="AC35" s="30"/>
      <c r="AE35" s="16">
        <v>34</v>
      </c>
      <c r="AF35" s="30"/>
      <c r="AG35" s="30"/>
      <c r="AH35" s="30"/>
      <c r="AI35" s="30"/>
    </row>
    <row r="36" spans="1:36" s="27" customFormat="1" ht="22.5" customHeight="1">
      <c r="A36" s="16">
        <v>35</v>
      </c>
      <c r="B36" s="30"/>
      <c r="C36" s="30"/>
      <c r="D36" s="30"/>
      <c r="E36" s="30"/>
      <c r="G36" s="16">
        <v>35</v>
      </c>
      <c r="H36" s="30"/>
      <c r="I36" s="30"/>
      <c r="J36" s="30"/>
      <c r="K36" s="30"/>
      <c r="M36" s="16">
        <v>35</v>
      </c>
      <c r="N36" s="30"/>
      <c r="O36" s="30"/>
      <c r="P36" s="30"/>
      <c r="Q36" s="30"/>
      <c r="S36" s="16">
        <v>35</v>
      </c>
      <c r="T36" s="30"/>
      <c r="U36" s="30"/>
      <c r="V36" s="30"/>
      <c r="W36" s="30"/>
      <c r="Y36" s="16">
        <v>35</v>
      </c>
      <c r="Z36" s="30"/>
      <c r="AA36" s="30"/>
      <c r="AB36" s="30"/>
      <c r="AC36" s="30"/>
      <c r="AE36" s="16">
        <v>35</v>
      </c>
      <c r="AF36" s="30"/>
      <c r="AG36" s="30"/>
      <c r="AH36" s="30"/>
      <c r="AI36" s="30"/>
    </row>
    <row r="37" spans="1:36" s="3" customFormat="1" ht="22.5" customHeight="1">
      <c r="B37" s="6">
        <f>COUNTA(B2:B36)</f>
        <v>27</v>
      </c>
      <c r="C37" s="6">
        <f t="shared" ref="C37:E37" si="0">COUNTA(C2:C36)</f>
        <v>28</v>
      </c>
      <c r="D37" s="6">
        <f t="shared" si="0"/>
        <v>28</v>
      </c>
      <c r="E37" s="6">
        <f t="shared" si="0"/>
        <v>26</v>
      </c>
      <c r="F37" s="6"/>
      <c r="H37" s="6">
        <f>COUNTA(H2:H36)</f>
        <v>33</v>
      </c>
      <c r="I37" s="6">
        <f>COUNTA(I2:I36)</f>
        <v>33</v>
      </c>
      <c r="J37" s="6">
        <f>COUNTA(J2:J36)</f>
        <v>32</v>
      </c>
      <c r="K37" s="6">
        <f>COUNTA(K2:K36)</f>
        <v>32</v>
      </c>
      <c r="L37" s="6"/>
      <c r="N37" s="6">
        <f>COUNTA(N2:N36)</f>
        <v>32</v>
      </c>
      <c r="O37" s="6">
        <f>COUNTA(O2:O36)</f>
        <v>33</v>
      </c>
      <c r="P37" s="6">
        <f>COUNTA(P2:P36)</f>
        <v>32</v>
      </c>
      <c r="Q37" s="6">
        <f>COUNTA(Q2:Q36)</f>
        <v>32</v>
      </c>
      <c r="R37" s="6"/>
      <c r="T37" s="6">
        <f>COUNTA(T2:T36)</f>
        <v>26</v>
      </c>
      <c r="U37" s="6">
        <f>COUNTA(U2:U36)</f>
        <v>29</v>
      </c>
      <c r="V37" s="6">
        <f>COUNTA(V2:V36)</f>
        <v>23</v>
      </c>
      <c r="W37" s="6">
        <f>COUNTA(W2:W36)</f>
        <v>23</v>
      </c>
      <c r="X37" s="6"/>
      <c r="Z37" s="6">
        <f>COUNTA(Z2:Z36)</f>
        <v>28</v>
      </c>
      <c r="AA37" s="6">
        <f>COUNTA(AA2:AA36)</f>
        <v>26</v>
      </c>
      <c r="AB37" s="6">
        <f>COUNTA(AB2:AB36)</f>
        <v>16</v>
      </c>
      <c r="AC37" s="6">
        <f>COUNTA(AC2:AC36)</f>
        <v>17</v>
      </c>
      <c r="AD37" s="6"/>
      <c r="AF37" s="6">
        <f>COUNTA(AF2:AF36)</f>
        <v>28</v>
      </c>
      <c r="AG37" s="6">
        <f>COUNTA(AG2:AG36)</f>
        <v>26</v>
      </c>
      <c r="AH37" s="6">
        <f>COUNTA(AH2:AH36)</f>
        <v>21</v>
      </c>
      <c r="AI37" s="6">
        <f>COUNTA(AI2:AI36)</f>
        <v>14</v>
      </c>
      <c r="AJ37" s="6"/>
    </row>
    <row r="38" spans="1:36" s="3" customFormat="1" ht="22.5" customHeight="1">
      <c r="B38" s="36">
        <f>B37+C37+D37+E37</f>
        <v>109</v>
      </c>
      <c r="C38" s="37"/>
      <c r="D38" s="37"/>
      <c r="E38" s="38"/>
      <c r="H38" s="36">
        <f>H37+I37+J37+K37</f>
        <v>130</v>
      </c>
      <c r="I38" s="37"/>
      <c r="J38" s="37"/>
      <c r="K38" s="38"/>
      <c r="N38" s="36">
        <f>N37+O37+P37+Q37</f>
        <v>129</v>
      </c>
      <c r="O38" s="37"/>
      <c r="P38" s="37"/>
      <c r="Q38" s="38"/>
      <c r="T38" s="36">
        <f>T37+U37+V37+W37</f>
        <v>101</v>
      </c>
      <c r="U38" s="37"/>
      <c r="V38" s="37"/>
      <c r="W38" s="38"/>
      <c r="Z38" s="36">
        <f>Z37+AA37+AB37+AC37</f>
        <v>87</v>
      </c>
      <c r="AA38" s="37"/>
      <c r="AB38" s="37"/>
      <c r="AC38" s="38"/>
      <c r="AF38" s="36">
        <f>AF37+AG37+AH37+AI37</f>
        <v>89</v>
      </c>
      <c r="AG38" s="37"/>
      <c r="AH38" s="37"/>
      <c r="AI38" s="38"/>
    </row>
    <row r="39" spans="1:36" s="3" customFormat="1" ht="15" customHeight="1" thickBot="1"/>
    <row r="40" spans="1:36" ht="22.5" customHeight="1" thickBot="1">
      <c r="AH40" s="2" t="s">
        <v>24</v>
      </c>
      <c r="AI40" s="7">
        <f>SUM(B37:AJ37)</f>
        <v>645</v>
      </c>
    </row>
    <row r="41" spans="1:36" ht="22.5" customHeight="1">
      <c r="AI41" s="8" t="s">
        <v>713</v>
      </c>
    </row>
  </sheetData>
  <mergeCells count="6">
    <mergeCell ref="AF38:AI38"/>
    <mergeCell ref="B38:E38"/>
    <mergeCell ref="H38:K38"/>
    <mergeCell ref="N38:Q38"/>
    <mergeCell ref="T38:W38"/>
    <mergeCell ref="Z38:AC38"/>
  </mergeCells>
  <phoneticPr fontId="2" type="noConversion"/>
  <printOptions horizontalCentered="1"/>
  <pageMargins left="0.15748031496062992" right="0.19685039370078741" top="0.78740157480314965" bottom="0.19685039370078741" header="0.35433070866141736" footer="0.15748031496062992"/>
  <pageSetup paperSize="9" scale="60" orientation="landscape" r:id="rId1"/>
  <headerFooter alignWithMargins="0">
    <oddHeader>&amp;C&amp;"新細明體,粗體"&amp;24 2025-2026年度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F21" sqref="F21"/>
    </sheetView>
  </sheetViews>
  <sheetFormatPr defaultRowHeight="19.5"/>
  <cols>
    <col min="1" max="1" width="9.125" style="11" customWidth="1"/>
    <col min="2" max="2" width="9.875" style="11" customWidth="1"/>
    <col min="3" max="3" width="15" style="11" customWidth="1"/>
    <col min="4" max="4" width="13.5" style="14" customWidth="1"/>
    <col min="5" max="5" width="17.875" style="10" customWidth="1"/>
    <col min="6" max="16384" width="9" style="10"/>
  </cols>
  <sheetData>
    <row r="1" spans="1:5">
      <c r="A1" s="9" t="s">
        <v>414</v>
      </c>
      <c r="B1" s="9" t="s">
        <v>415</v>
      </c>
      <c r="C1" s="9" t="s">
        <v>416</v>
      </c>
      <c r="D1" s="9" t="s">
        <v>419</v>
      </c>
      <c r="E1" s="9" t="s">
        <v>676</v>
      </c>
    </row>
    <row r="2" spans="1:5">
      <c r="A2" s="11" t="s">
        <v>546</v>
      </c>
      <c r="B2" s="11">
        <v>22</v>
      </c>
      <c r="C2" s="11" t="s">
        <v>665</v>
      </c>
      <c r="D2" s="12" t="s">
        <v>544</v>
      </c>
      <c r="E2" s="11" t="s">
        <v>695</v>
      </c>
    </row>
    <row r="3" spans="1:5">
      <c r="A3" s="11" t="s">
        <v>693</v>
      </c>
      <c r="B3" s="11">
        <v>19</v>
      </c>
      <c r="C3" s="11" t="s">
        <v>690</v>
      </c>
      <c r="D3" s="12" t="s">
        <v>544</v>
      </c>
      <c r="E3" s="11" t="s">
        <v>691</v>
      </c>
    </row>
    <row r="4" spans="1:5">
      <c r="A4" s="11" t="s">
        <v>692</v>
      </c>
      <c r="B4" s="11">
        <v>17</v>
      </c>
      <c r="C4" s="11" t="s">
        <v>694</v>
      </c>
      <c r="D4" s="12" t="s">
        <v>544</v>
      </c>
      <c r="E4" s="11" t="s">
        <v>691</v>
      </c>
    </row>
    <row r="5" spans="1:5">
      <c r="A5" s="11" t="s">
        <v>674</v>
      </c>
      <c r="B5" s="11">
        <v>25</v>
      </c>
      <c r="C5" s="11" t="s">
        <v>657</v>
      </c>
      <c r="D5" s="12" t="s">
        <v>544</v>
      </c>
      <c r="E5" s="11" t="s">
        <v>675</v>
      </c>
    </row>
    <row r="6" spans="1:5">
      <c r="A6" s="11" t="s">
        <v>677</v>
      </c>
      <c r="B6" s="11">
        <v>4</v>
      </c>
      <c r="C6" s="11" t="s">
        <v>289</v>
      </c>
      <c r="D6" s="12" t="s">
        <v>544</v>
      </c>
      <c r="E6" s="11" t="s">
        <v>678</v>
      </c>
    </row>
    <row r="7" spans="1:5">
      <c r="A7" s="11" t="s">
        <v>684</v>
      </c>
      <c r="B7" s="11">
        <v>27</v>
      </c>
      <c r="C7" s="11" t="s">
        <v>685</v>
      </c>
      <c r="D7" s="12" t="s">
        <v>544</v>
      </c>
      <c r="E7" s="11" t="s">
        <v>686</v>
      </c>
    </row>
    <row r="8" spans="1:5">
      <c r="A8" s="11" t="s">
        <v>546</v>
      </c>
      <c r="B8" s="11">
        <v>34</v>
      </c>
      <c r="C8" s="11" t="s">
        <v>696</v>
      </c>
      <c r="D8" s="13" t="s">
        <v>697</v>
      </c>
      <c r="E8" s="11" t="s">
        <v>698</v>
      </c>
    </row>
    <row r="9" spans="1:5">
      <c r="A9" s="11" t="s">
        <v>692</v>
      </c>
      <c r="B9" s="11">
        <v>33</v>
      </c>
      <c r="C9" s="11" t="s">
        <v>700</v>
      </c>
      <c r="D9" s="13" t="s">
        <v>697</v>
      </c>
      <c r="E9" s="11" t="s">
        <v>703</v>
      </c>
    </row>
    <row r="10" spans="1:5">
      <c r="A10" s="11" t="s">
        <v>704</v>
      </c>
      <c r="B10" s="11">
        <v>32</v>
      </c>
      <c r="C10" s="11" t="s">
        <v>699</v>
      </c>
      <c r="D10" s="13" t="s">
        <v>697</v>
      </c>
      <c r="E10" s="11" t="s">
        <v>703</v>
      </c>
    </row>
    <row r="11" spans="1:5">
      <c r="A11" s="11" t="s">
        <v>687</v>
      </c>
      <c r="B11" s="11">
        <v>23</v>
      </c>
      <c r="C11" s="11" t="s">
        <v>688</v>
      </c>
      <c r="D11" s="12" t="s">
        <v>544</v>
      </c>
      <c r="E11" s="11" t="s">
        <v>689</v>
      </c>
    </row>
    <row r="12" spans="1:5">
      <c r="A12" s="11" t="s">
        <v>693</v>
      </c>
      <c r="B12" s="11">
        <v>23</v>
      </c>
      <c r="C12" s="11" t="s">
        <v>121</v>
      </c>
      <c r="D12" s="12" t="s">
        <v>544</v>
      </c>
      <c r="E12" s="11" t="s">
        <v>705</v>
      </c>
    </row>
    <row r="13" spans="1:5">
      <c r="A13" s="11" t="s">
        <v>701</v>
      </c>
      <c r="B13" s="11">
        <v>26</v>
      </c>
      <c r="C13" s="11" t="s">
        <v>97</v>
      </c>
      <c r="D13" s="12" t="s">
        <v>544</v>
      </c>
      <c r="E13" s="11" t="s">
        <v>702</v>
      </c>
    </row>
    <row r="14" spans="1:5">
      <c r="A14" s="11" t="s">
        <v>706</v>
      </c>
      <c r="B14" s="11">
        <v>8</v>
      </c>
      <c r="C14" s="11" t="s">
        <v>707</v>
      </c>
      <c r="D14" s="12" t="s">
        <v>544</v>
      </c>
      <c r="E14" s="11" t="s">
        <v>708</v>
      </c>
    </row>
    <row r="15" spans="1:5">
      <c r="A15" s="11" t="s">
        <v>709</v>
      </c>
      <c r="B15" s="11">
        <v>16</v>
      </c>
      <c r="C15" s="11" t="s">
        <v>185</v>
      </c>
      <c r="D15" s="12" t="s">
        <v>544</v>
      </c>
      <c r="E15" s="11" t="s">
        <v>710</v>
      </c>
    </row>
    <row r="16" spans="1:5">
      <c r="A16" s="34" t="s">
        <v>693</v>
      </c>
      <c r="B16" s="34">
        <v>14</v>
      </c>
      <c r="C16" s="34" t="s">
        <v>372</v>
      </c>
      <c r="D16" s="35" t="s">
        <v>711</v>
      </c>
      <c r="E16" s="34" t="s">
        <v>712</v>
      </c>
    </row>
    <row r="17" spans="4:5">
      <c r="D17" s="13"/>
    </row>
    <row r="18" spans="4:5">
      <c r="D18" s="13"/>
    </row>
    <row r="19" spans="4:5">
      <c r="D19" s="12"/>
      <c r="E19" s="15"/>
    </row>
    <row r="20" spans="4:5">
      <c r="D20" s="12"/>
    </row>
    <row r="21" spans="4:5">
      <c r="D21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All</vt:lpstr>
      <vt:lpstr>退學、插班生_名單</vt:lpstr>
      <vt:lpstr>All!Print_Area</vt:lpstr>
    </vt:vector>
  </TitlesOfParts>
  <Company>LENOVO CUSTOMER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Admin</cp:lastModifiedBy>
  <cp:lastPrinted>2025-09-04T03:39:33Z</cp:lastPrinted>
  <dcterms:created xsi:type="dcterms:W3CDTF">2008-10-06T03:32:50Z</dcterms:created>
  <dcterms:modified xsi:type="dcterms:W3CDTF">2025-11-11T01:43:03Z</dcterms:modified>
</cp:coreProperties>
</file>